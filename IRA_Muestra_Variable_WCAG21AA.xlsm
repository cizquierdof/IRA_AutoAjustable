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wkgt5-my.sharepoint.com/personal/cizquierdof_wkgt5_onmicrosoft_com/Documents/Servicios/VSCODE PRUEBAS/pruebas_VBA/"/>
    </mc:Choice>
  </mc:AlternateContent>
  <xr:revisionPtr revIDLastSave="614909" documentId="8_{F71DCFEC-F741-4286-A1FF-CAD598B6C06C}" xr6:coauthVersionLast="47" xr6:coauthVersionMax="47" xr10:uidLastSave="{FBA59A37-7700-4A59-B93B-AA52A99AAA32}"/>
  <bookViews>
    <workbookView xWindow="-28920" yWindow="13620" windowWidth="29040" windowHeight="15720" activeTab="5" xr2:uid="{ACEA2C4A-3559-4691-B287-0FD8CD48A897}"/>
  </bookViews>
  <sheets>
    <sheet name="Muestra" sheetId="1" r:id="rId1"/>
    <sheet name="Perceptible" sheetId="1199" r:id="rId2"/>
    <sheet name="Operable" sheetId="1198" r:id="rId3"/>
    <sheet name="Comprensible" sheetId="1197" r:id="rId4"/>
    <sheet name="Robusto" sheetId="1196" r:id="rId5"/>
    <sheet name="Resultados" sheetId="1200" r:id="rId6"/>
    <sheet name="Datos" sheetId="3" state="hidden" r:id="rId7"/>
  </sheets>
  <functionGroups builtInGroupCount="19"/>
  <definedNames>
    <definedName name="_xleta.IF" hidden="1" xlm="1">#NAME?</definedName>
    <definedName name="_xleta.SUBTOTAL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3" i="1200" l="1"/>
  <c r="W22" i="1200"/>
  <c r="W21" i="1200"/>
  <c r="W20" i="1200"/>
  <c r="AG11" i="1200"/>
  <c r="AG10" i="1200"/>
  <c r="AG9" i="1200"/>
  <c r="AG8" i="1200"/>
  <c r="AF11" i="1200"/>
  <c r="AF10" i="1200"/>
  <c r="AF9" i="1200"/>
  <c r="AF8" i="1200"/>
  <c r="V23" i="1200"/>
  <c r="V22" i="1200"/>
  <c r="V21" i="1200"/>
  <c r="V20" i="1200"/>
  <c r="U23" i="1200"/>
  <c r="U22" i="1200"/>
  <c r="U21" i="1200"/>
  <c r="U20" i="1200"/>
  <c r="AE11" i="1200"/>
  <c r="AE10" i="1200"/>
  <c r="AE9" i="1200"/>
  <c r="AE8" i="1200"/>
  <c r="AD11" i="1200"/>
  <c r="AD10" i="1200"/>
  <c r="AD9" i="1200"/>
  <c r="AD8" i="1200"/>
  <c r="T23" i="1200"/>
  <c r="T22" i="1200"/>
  <c r="T21" i="1200"/>
  <c r="T20" i="1200"/>
  <c r="S23" i="1200"/>
  <c r="S22" i="1200"/>
  <c r="S21" i="1200"/>
  <c r="S20" i="1200"/>
  <c r="AC11" i="1200"/>
  <c r="AC10" i="1200"/>
  <c r="AC9" i="1200"/>
  <c r="AC8" i="1200"/>
  <c r="AB11" i="1200"/>
  <c r="AB10" i="1200"/>
  <c r="AB9" i="1200"/>
  <c r="AB8" i="1200"/>
  <c r="R23" i="1200"/>
  <c r="R22" i="1200"/>
  <c r="R21" i="1200"/>
  <c r="R20" i="1200"/>
  <c r="AA11" i="1200"/>
  <c r="AA10" i="1200"/>
  <c r="AA9" i="1200"/>
  <c r="AA8" i="1200"/>
  <c r="Z11" i="1200"/>
  <c r="Z10" i="1200"/>
  <c r="Z9" i="1200"/>
  <c r="Z8" i="1200"/>
  <c r="Y11" i="1200"/>
  <c r="Y10" i="1200"/>
  <c r="Y9" i="1200"/>
  <c r="Y8" i="1200"/>
  <c r="X11" i="1200"/>
  <c r="X10" i="1200"/>
  <c r="X9" i="1200"/>
  <c r="X8" i="1200"/>
  <c r="W11" i="1200"/>
  <c r="W10" i="1200"/>
  <c r="W9" i="1200"/>
  <c r="W8" i="1200"/>
  <c r="Q23" i="1200"/>
  <c r="Q22" i="1200"/>
  <c r="Q21" i="1200"/>
  <c r="Q20" i="1200"/>
  <c r="P23" i="1200"/>
  <c r="P22" i="1200"/>
  <c r="P21" i="1200"/>
  <c r="P20" i="1200"/>
  <c r="O23" i="1200"/>
  <c r="O22" i="1200"/>
  <c r="O21" i="1200"/>
  <c r="O20" i="1200"/>
  <c r="V11" i="1200"/>
  <c r="V10" i="1200"/>
  <c r="V9" i="1200"/>
  <c r="V8" i="1200"/>
  <c r="U11" i="1200"/>
  <c r="U10" i="1200"/>
  <c r="U9" i="1200"/>
  <c r="U8" i="1200"/>
  <c r="T11" i="1200"/>
  <c r="T10" i="1200"/>
  <c r="T9" i="1200"/>
  <c r="T8" i="1200"/>
  <c r="S11" i="1200"/>
  <c r="S10" i="1200"/>
  <c r="S9" i="1200"/>
  <c r="S8" i="1200"/>
  <c r="R11" i="1200"/>
  <c r="R10" i="1200"/>
  <c r="R9" i="1200"/>
  <c r="R8" i="1200"/>
  <c r="Q11" i="1200"/>
  <c r="Q10" i="1200"/>
  <c r="Q9" i="1200"/>
  <c r="Q8" i="1200"/>
  <c r="P11" i="1200"/>
  <c r="P10" i="1200"/>
  <c r="P9" i="1200"/>
  <c r="P8" i="1200"/>
  <c r="O11" i="1200"/>
  <c r="O10" i="1200"/>
  <c r="O9" i="1200"/>
  <c r="O8" i="1200"/>
  <c r="N11" i="1200"/>
  <c r="N10" i="1200"/>
  <c r="N9" i="1200"/>
  <c r="N8" i="1200"/>
  <c r="M11" i="1200"/>
  <c r="M10" i="1200"/>
  <c r="M9" i="1200"/>
  <c r="M8" i="1200"/>
  <c r="N23" i="1200"/>
  <c r="N22" i="1200"/>
  <c r="N21" i="1200"/>
  <c r="N20" i="1200"/>
  <c r="M23" i="1200"/>
  <c r="M22" i="1200"/>
  <c r="M21" i="1200"/>
  <c r="M20" i="1200"/>
  <c r="L23" i="1200"/>
  <c r="L22" i="1200"/>
  <c r="L21" i="1200"/>
  <c r="L20" i="1200"/>
  <c r="K23" i="1200"/>
  <c r="K22" i="1200"/>
  <c r="K21" i="1200"/>
  <c r="K20" i="1200"/>
  <c r="J23" i="1200"/>
  <c r="J22" i="1200"/>
  <c r="J21" i="1200"/>
  <c r="J20" i="1200"/>
  <c r="I23" i="1200"/>
  <c r="I22" i="1200"/>
  <c r="I21" i="1200"/>
  <c r="I20" i="1200"/>
  <c r="H23" i="1200"/>
  <c r="H22" i="1200"/>
  <c r="H21" i="1200"/>
  <c r="H20" i="1200"/>
  <c r="L11" i="1200"/>
  <c r="L10" i="1200"/>
  <c r="L9" i="1200"/>
  <c r="L8" i="1200"/>
  <c r="K11" i="1200"/>
  <c r="K10" i="1200"/>
  <c r="K9" i="1200"/>
  <c r="K8" i="1200"/>
  <c r="G23" i="1200"/>
  <c r="G22" i="1200"/>
  <c r="G21" i="1200"/>
  <c r="G20" i="1200"/>
  <c r="F23" i="1200"/>
  <c r="F22" i="1200"/>
  <c r="F21" i="1200"/>
  <c r="F20" i="1200"/>
  <c r="J11" i="1200"/>
  <c r="J10" i="1200"/>
  <c r="J9" i="1200"/>
  <c r="J8" i="1200"/>
  <c r="I11" i="1200"/>
  <c r="I10" i="1200"/>
  <c r="I9" i="1200"/>
  <c r="I8" i="1200"/>
  <c r="H11" i="1200"/>
  <c r="H10" i="1200"/>
  <c r="H9" i="1200"/>
  <c r="H8" i="1200"/>
  <c r="E23" i="1200"/>
  <c r="E22" i="1200"/>
  <c r="E21" i="1200"/>
  <c r="E20" i="1200"/>
  <c r="D23" i="1200"/>
  <c r="D22" i="1200"/>
  <c r="D21" i="1200"/>
  <c r="D20" i="1200"/>
  <c r="G11" i="1200"/>
  <c r="G10" i="1200"/>
  <c r="G9" i="1200"/>
  <c r="G8" i="1200"/>
  <c r="F11" i="1200"/>
  <c r="F10" i="1200"/>
  <c r="F9" i="1200"/>
  <c r="F8" i="1200"/>
  <c r="E11" i="1200"/>
  <c r="E10" i="1200"/>
  <c r="E9" i="1200"/>
  <c r="E8" i="1200"/>
  <c r="D11" i="1200"/>
  <c r="D10" i="1200"/>
  <c r="D9" i="1200"/>
  <c r="D8" i="1200"/>
</calcChain>
</file>

<file path=xl/sharedStrings.xml><?xml version="1.0" encoding="utf-8"?>
<sst xmlns="http://schemas.openxmlformats.org/spreadsheetml/2006/main" count="735" uniqueCount="138">
  <si>
    <t>Id</t>
  </si>
  <si>
    <t>id</t>
  </si>
  <si>
    <t>Columna1</t>
  </si>
  <si>
    <t>Nombre</t>
  </si>
  <si>
    <t>URL</t>
  </si>
  <si>
    <t>inicio</t>
  </si>
  <si>
    <t>www.inicio.com</t>
  </si>
  <si>
    <t>contacto</t>
  </si>
  <si>
    <t>www.inicio.com/contacto</t>
  </si>
  <si>
    <t>legal</t>
  </si>
  <si>
    <t>www.inicio.com/contacto/legal</t>
  </si>
  <si>
    <t>accessibilidad</t>
  </si>
  <si>
    <t>www.inicio.com/contacto/accesibilidad</t>
  </si>
  <si>
    <t>N/D</t>
  </si>
  <si>
    <t>N/A</t>
  </si>
  <si>
    <t>Pasa</t>
  </si>
  <si>
    <t>Falla</t>
  </si>
  <si>
    <t>1.1.1 Contenido no textual</t>
  </si>
  <si>
    <t>Resultado</t>
  </si>
  <si>
    <t>A</t>
  </si>
  <si>
    <t>1.2.2 Subtítulos (grabados)</t>
  </si>
  <si>
    <t>1.2.3 Audiodescripción o Medio Alternativo (grabado)</t>
  </si>
  <si>
    <t>AA</t>
  </si>
  <si>
    <t>1.2.4 Subtítulos (en directo)</t>
  </si>
  <si>
    <t>Informe de revisión de la accesibilidad</t>
  </si>
  <si>
    <t>Análisis de accesibilidad en profundidad de un sitio web</t>
  </si>
  <si>
    <t>Revisión de la muestra</t>
  </si>
  <si>
    <t>Principio 3: Comprensible</t>
  </si>
  <si>
    <t>La información y el manejo de la interfaz de usuario deben ser comprensibles.</t>
  </si>
  <si>
    <t>Criterios de Conformidad</t>
  </si>
  <si>
    <t>Total</t>
  </si>
  <si>
    <t>Principio 1: Perceptible</t>
  </si>
  <si>
    <t>La información y los componentes de la interfaz de usuario deben ser presentados a los usuarios de modo que ellos puedan percibirlos.</t>
  </si>
  <si>
    <t>Principio 2: Operable</t>
  </si>
  <si>
    <t>Los componentes de la interfaz de usuario y la navegación deben ser operables.</t>
  </si>
  <si>
    <t>Principio 4: Robusto</t>
  </si>
  <si>
    <t>El contenido debe ser lo suficientemente robusto para que pueda ser interpretado de manera confiable</t>
  </si>
  <si>
    <t>4.1.1 Procesamiento</t>
  </si>
  <si>
    <t>4.1.2 Nombre, función, valor</t>
  </si>
  <si>
    <t>4.1.3 Mensajes de estado</t>
  </si>
  <si>
    <t>3.1.1 Idioma de la página</t>
  </si>
  <si>
    <t>3.1.2 Idioma de las partes</t>
  </si>
  <si>
    <t>3.2.1 Al recibir el foco</t>
  </si>
  <si>
    <t>3.2.2 Al recibir entradas</t>
  </si>
  <si>
    <t>3.2.3 Navegación coherente</t>
  </si>
  <si>
    <t>3.2.4 Identificación coherente</t>
  </si>
  <si>
    <t>3.3.1 Identificación de errores</t>
  </si>
  <si>
    <t>3.3.2 Etiquetas o instrucciones</t>
  </si>
  <si>
    <t>3.3.3 Sugerencias ante errores</t>
  </si>
  <si>
    <t>3.3.4 Prevención de errores (legales, financieros, datos)</t>
  </si>
  <si>
    <t>2.1.1 Teclado</t>
  </si>
  <si>
    <t>2.1.2 Sin trampas para el foco del teclado</t>
  </si>
  <si>
    <t>2.1.4  Atajos con teclas de caracteres</t>
  </si>
  <si>
    <t>2.2.1 Tiempo ajustable</t>
  </si>
  <si>
    <t>2.2.2 Poner en pausa, detener, ocultar</t>
  </si>
  <si>
    <t>2.3.1 Umbral de tres destellos o menos</t>
  </si>
  <si>
    <t>2.4.1 Evitar bloques</t>
  </si>
  <si>
    <t>2.4.2 Titulado de páginas</t>
  </si>
  <si>
    <t>2.4.3 Orden del foco</t>
  </si>
  <si>
    <t>2.4.4 Propósito de los enlaces (en contexto)</t>
  </si>
  <si>
    <t>2.4.5 Múltiples vías</t>
  </si>
  <si>
    <t>2.4.6 Encabezados y etiquetas</t>
  </si>
  <si>
    <t>2.4.7 Foco visible</t>
  </si>
  <si>
    <t>2.5.1 Gestos del puntero</t>
  </si>
  <si>
    <t>2.5.2 Cancelación del puntero</t>
  </si>
  <si>
    <t>2.5.3 Etiqueta en el nombre</t>
  </si>
  <si>
    <t>2.5.4. Activación mediante movimiento</t>
  </si>
  <si>
    <t>1.2.1 Sólo audio y sólo vídeo (grabado)</t>
  </si>
  <si>
    <t>1.2.5 Audiodescripción (grabado)</t>
  </si>
  <si>
    <t>1.3.1 Información y relaciones</t>
  </si>
  <si>
    <t>1.3.2 Secuencia significativa</t>
  </si>
  <si>
    <t>1.3.3 Características sensoriales</t>
  </si>
  <si>
    <t>1.3.4 Orientación</t>
  </si>
  <si>
    <t>1.3.5 Identificar el propósito de campo</t>
  </si>
  <si>
    <t>1.4.1 Uso del Color</t>
  </si>
  <si>
    <t>1.4.2 Control del audio</t>
  </si>
  <si>
    <t>1.4.3 Contraste (mínimo)</t>
  </si>
  <si>
    <t>1.4.4 Redimensión del texto</t>
  </si>
  <si>
    <t>1.4.5 Imágenes de texto</t>
  </si>
  <si>
    <t>1.4.10 Reflow</t>
  </si>
  <si>
    <t>1.4.11 Contraste en elementos no textuales</t>
  </si>
  <si>
    <t>1.4.12 Espaciado en el texto</t>
  </si>
  <si>
    <t>1.4.13 Contenido en over o focus</t>
  </si>
  <si>
    <t>Muestra</t>
  </si>
  <si>
    <t>1.1.1</t>
  </si>
  <si>
    <t>1.2.1</t>
  </si>
  <si>
    <t>1.2.2</t>
  </si>
  <si>
    <t>1.2.3</t>
  </si>
  <si>
    <t>1.3.1</t>
  </si>
  <si>
    <t>1.3.2</t>
  </si>
  <si>
    <t>1.3.3</t>
  </si>
  <si>
    <t>1.4.1</t>
  </si>
  <si>
    <t>1.4.2</t>
  </si>
  <si>
    <t>2.1.1</t>
  </si>
  <si>
    <t>2.1.2</t>
  </si>
  <si>
    <t>2.1.4</t>
  </si>
  <si>
    <t>2.2.1</t>
  </si>
  <si>
    <t>2.2.2</t>
  </si>
  <si>
    <t>2.3.1</t>
  </si>
  <si>
    <t>2.4.1</t>
  </si>
  <si>
    <t>2.4.2</t>
  </si>
  <si>
    <t>2.4.3</t>
  </si>
  <si>
    <t>2.4.4</t>
  </si>
  <si>
    <t>2.5.1</t>
  </si>
  <si>
    <t>2.5.2</t>
  </si>
  <si>
    <t>2.5.3</t>
  </si>
  <si>
    <t>2.5.4</t>
  </si>
  <si>
    <t>3.1.1</t>
  </si>
  <si>
    <t>3.2.1</t>
  </si>
  <si>
    <t>3.2.2</t>
  </si>
  <si>
    <t>3.3.1</t>
  </si>
  <si>
    <t>3.3.2</t>
  </si>
  <si>
    <t>4.1.1</t>
  </si>
  <si>
    <t>4.1.2</t>
  </si>
  <si>
    <t>1.2.4</t>
  </si>
  <si>
    <t>1.2.5</t>
  </si>
  <si>
    <t>1.3.4</t>
  </si>
  <si>
    <t>1.3.5</t>
  </si>
  <si>
    <t>1.4.3</t>
  </si>
  <si>
    <t>1.4.4</t>
  </si>
  <si>
    <t>1.4.5</t>
  </si>
  <si>
    <t>1.4.10</t>
  </si>
  <si>
    <t>1.4.11</t>
  </si>
  <si>
    <t>1.4.12</t>
  </si>
  <si>
    <t>1.4.13</t>
  </si>
  <si>
    <t>2.4.5</t>
  </si>
  <si>
    <t>2.4.6</t>
  </si>
  <si>
    <t>2.4.7</t>
  </si>
  <si>
    <t>3.1.2</t>
  </si>
  <si>
    <t>3.2.3</t>
  </si>
  <si>
    <t>3.2.4</t>
  </si>
  <si>
    <t>3.3.3</t>
  </si>
  <si>
    <t>3.3.4</t>
  </si>
  <si>
    <t>4.1.3</t>
  </si>
  <si>
    <t>Resultados</t>
  </si>
  <si>
    <t>No aplica</t>
  </si>
  <si>
    <t>nivel A</t>
  </si>
  <si>
    <t>nivel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</si>
</sst>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b/>
      <sz val="24"/>
      <color rgb="FFFFFFFF"/>
      <name val="Calibri"/>
      <family val="2"/>
    </font>
    <font>
      <sz val="24"/>
      <color rgb="FF3465C3"/>
      <name val="Arial"/>
      <family val="2"/>
    </font>
    <font>
      <sz val="20"/>
      <color rgb="FF3465B4"/>
      <name val="Arial"/>
      <family val="2"/>
    </font>
    <font>
      <sz val="18"/>
      <color theme="1"/>
      <name val="Helvetica Neue"/>
    </font>
    <font>
      <b/>
      <sz val="18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Verdana"/>
      <family val="2"/>
    </font>
    <font>
      <b/>
      <sz val="12"/>
      <color rgb="FFFFFFFF"/>
      <name val="Verdana"/>
      <family val="2"/>
    </font>
    <font>
      <b/>
      <sz val="24"/>
      <color theme="1"/>
      <name val="Verdana"/>
      <family val="2"/>
    </font>
    <font>
      <b/>
      <sz val="11.5"/>
      <color theme="1"/>
      <name val="Verdana"/>
      <family val="2"/>
    </font>
    <font>
      <b/>
      <sz val="14"/>
      <color theme="1"/>
      <name val="Verdana"/>
      <family val="2"/>
    </font>
    <font>
      <b/>
      <sz val="12"/>
      <color indexed="59"/>
      <name val="Verdana"/>
      <family val="2"/>
    </font>
    <font>
      <b/>
      <sz val="12"/>
      <color indexed="1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C9DAF8"/>
        <bgColor indexed="64"/>
      </patternFill>
    </fill>
    <fill>
      <patternFill patternType="solid">
        <fgColor rgb="FF5983B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6D6D"/>
        <bgColor indexed="64"/>
      </patternFill>
    </fill>
    <fill>
      <patternFill patternType="solid">
        <fgColor rgb="FFE8F2A1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D4EA6B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1"/>
    <xf numFmtId="0" fontId="6" fillId="0" borderId="0" xfId="0" applyFont="1"/>
    <xf numFmtId="0" fontId="7" fillId="0" borderId="0" xfId="0" applyFont="1"/>
    <xf numFmtId="0" fontId="0" fillId="0" borderId="1" xfId="0" applyBorder="1"/>
    <xf numFmtId="0" fontId="8" fillId="4" borderId="0" xfId="0" applyFont="1" applyFill="1"/>
    <xf numFmtId="0" fontId="0" fillId="5" borderId="0" xfId="0" applyFill="1"/>
    <xf numFmtId="0" fontId="9" fillId="0" borderId="0" xfId="0" applyFont="1"/>
    <xf numFmtId="0" fontId="0" fillId="3" borderId="0" xfId="0" applyFill="1"/>
    <xf numFmtId="0" fontId="0" fillId="7" borderId="0" xfId="0" applyFill="1"/>
    <xf numFmtId="0" fontId="0" fillId="8" borderId="0" xfId="0" applyFill="1"/>
    <xf numFmtId="0" fontId="11" fillId="0" borderId="1" xfId="0" applyFont="1" applyBorder="1"/>
    <xf numFmtId="0" fontId="13" fillId="9" borderId="1" xfId="0" applyFont="1" applyFill="1" applyBorder="1" applyAlignment="1">
      <alignment vertical="center"/>
    </xf>
    <xf numFmtId="0" fontId="12" fillId="10" borderId="1" xfId="0" applyFont="1" applyFill="1" applyBorder="1"/>
    <xf numFmtId="0" fontId="0" fillId="10" borderId="1" xfId="0" applyFill="1" applyBorder="1"/>
    <xf numFmtId="0" fontId="11" fillId="2" borderId="0" xfId="0" applyFont="1" applyFill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/>
    </xf>
    <xf numFmtId="0" fontId="10" fillId="6" borderId="3" xfId="0" applyFont="1" applyFill="1" applyBorder="1" applyAlignment="1">
      <alignment horizontal="center"/>
    </xf>
    <xf numFmtId="0" fontId="0" fillId="11" borderId="4" xfId="0" applyFont="1" applyFill="1" applyBorder="1"/>
    <xf numFmtId="0" fontId="0" fillId="0" borderId="4" xfId="0" applyFont="1" applyBorder="1"/>
    <xf numFmtId="0" fontId="0" fillId="0" borderId="1" xfId="0" applyFill="1" applyBorder="1"/>
    <xf numFmtId="0" fontId="0" fillId="0" borderId="3" xfId="0" applyFill="1" applyBorder="1" applyAlignment="1">
      <alignment horizontal="center"/>
    </xf>
    <xf numFmtId="0" fontId="0" fillId="0" borderId="2" xfId="0" applyFill="1" applyBorder="1"/>
    <xf numFmtId="0" fontId="0" fillId="0" borderId="9" xfId="0" applyFill="1" applyBorder="1" applyAlignment="1">
      <alignment horizontal="center"/>
    </xf>
    <xf numFmtId="0" fontId="0" fillId="0" borderId="10" xfId="0" applyFill="1" applyBorder="1"/>
    <xf numFmtId="0" fontId="0" fillId="0" borderId="11" xfId="0" applyFill="1" applyBorder="1"/>
    <xf numFmtId="0" fontId="15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textRotation="90"/>
    </xf>
    <xf numFmtId="0" fontId="2" fillId="11" borderId="5" xfId="1" applyFont="1" applyFill="1" applyBorder="1"/>
    <xf numFmtId="0" fontId="2" fillId="0" borderId="5" xfId="1" applyFont="1" applyBorder="1"/>
  </cellXfs>
  <cellStyles count="2">
    <cellStyle name="Hipervínculo" xfId="1" builtinId="8"/>
    <cellStyle name="Normal" xfId="0" builtinId="0"/>
  </cellStyles>
  <dxfs count="507"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1485900</xdr:colOff>
          <xdr:row>29</xdr:row>
          <xdr:rowOff>120650</xdr:rowOff>
        </xdr:from>
        <xdr:to>
          <xdr:col>2</xdr:col>
          <xdr:colOff>854075</xdr:colOff>
          <xdr:row>30</xdr:row>
          <xdr:rowOff>196850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FF0000"/>
                  </a:solidFill>
                  <a:latin typeface="Verdana"/>
                  <a:ea typeface="Verdana"/>
                </a:rPr>
                <a:t>borrar 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30</xdr:row>
          <xdr:rowOff>0</xdr:rowOff>
        </xdr:from>
        <xdr:to>
          <xdr:col>1</xdr:col>
          <xdr:colOff>876300</xdr:colOff>
          <xdr:row>31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333300"/>
                  </a:solidFill>
                  <a:latin typeface="Verdana"/>
                  <a:ea typeface="Verdana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820815-30F9-49BB-8054-CD8C4932EAA4}" name="muestra" displayName="muestra" ref="A1:C5" totalsRowShown="0">
  <autoFilter ref="A1:C5" xr:uid="{8A820815-30F9-49BB-8054-CD8C4932EAA4}"/>
  <tableColumns count="3">
    <tableColumn id="1" xr3:uid="{B4CC4C34-0C2D-4B1D-A2FB-6C624DBC3A5B}" name="Id" dataDxfId="506"/>
    <tableColumn id="2" xr3:uid="{368B2534-1D28-470A-B594-9CABE8279AA1}" name="Nombre"/>
    <tableColumn id="3" xr3:uid="{C10E206F-87FA-4CC3-BE36-6B3B895433B9}" name="URL" dataCellStyle="Hipervíncul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3" xr:uid="{9DFD25E9-A767-4450-801E-F8B382212857}" name="T1_1_1" displayName="T1_1_1" ref="A18:D22" totalsRowShown="0" headerRowBorderDxfId="201" tableBorderDxfId="202" totalsRowBorderDxfId="200">
  <tableColumns count="4">
    <tableColumn id="1" xr3:uid="{A33847F1-2266-4617-9C6D-20E512A1A7BB}" name="id" dataDxfId="34"/>
    <tableColumn id="2" xr3:uid="{651594C0-4521-4003-93D8-9CCF18C2125A}" name="A" dataDxfId="199"/>
    <tableColumn id="3" xr3:uid="{0BF3202C-0D0B-4D6C-AAE6-B3B40B69F04E}" name="1.1.1 Contenido no textual" dataDxfId="198"/>
    <tableColumn id="4" xr3:uid="{516AFC36-2264-438D-9404-7459E19EF63B}" name="Resultado" dataDxfId="1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4" xr:uid="{7122E18A-C6E2-4A09-ACE2-C2FC62CCB9D4}" name="T1_2_1" displayName="T1_2_1" ref="A25:D29" totalsRowShown="0" headerRowBorderDxfId="192" tableBorderDxfId="193" totalsRowBorderDxfId="191">
  <tableColumns count="4">
    <tableColumn id="1" xr3:uid="{729ED89F-F3A5-4931-9CDA-63547A9E974A}" name="id" dataDxfId="33"/>
    <tableColumn id="2" xr3:uid="{C9428520-01F0-44A4-8D9C-E7C80BAF1B39}" name="A" dataDxfId="190"/>
    <tableColumn id="3" xr3:uid="{32BD4A08-BB16-424B-9F61-9731C3BBEC4A}" name="1.2.1 Sólo audio y sólo vídeo (grabado)" dataDxfId="189"/>
    <tableColumn id="4" xr3:uid="{D66FF95E-4E2A-4125-BC50-11527DB51D28}" name="Resultado" dataDxfId="1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5" xr:uid="{FC6C912C-40EE-4ABD-A44B-AF62B19C513A}" name="T1_2_2" displayName="T1_2_2" ref="A32:D36" totalsRowShown="0" headerRowBorderDxfId="183" tableBorderDxfId="184" totalsRowBorderDxfId="182">
  <tableColumns count="4">
    <tableColumn id="1" xr3:uid="{D6E5EB6E-38C9-4236-8592-C1BFF4ACF49F}" name="id" dataDxfId="32"/>
    <tableColumn id="2" xr3:uid="{3049D19B-F3D4-4EF4-B4BC-7848342067E2}" name="A" dataDxfId="181"/>
    <tableColumn id="3" xr3:uid="{580CD200-6CCD-4180-8969-5416FBE15B19}" name="1.2.2 Subtítulos (grabados)" dataDxfId="180"/>
    <tableColumn id="4" xr3:uid="{663B12CA-F2FE-460D-984D-C186C588FD87}" name="Resultado" dataDxfId="1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6" xr:uid="{958F141F-64AB-4C61-8D28-72423316D02F}" name="T1_2_3" displayName="T1_2_3" ref="A39:D43" totalsRowShown="0" headerRowBorderDxfId="174" tableBorderDxfId="175" totalsRowBorderDxfId="173">
  <tableColumns count="4">
    <tableColumn id="1" xr3:uid="{52375996-107F-4623-8876-96876073B74F}" name="id" dataDxfId="31"/>
    <tableColumn id="2" xr3:uid="{64EF2837-3483-43B6-88E9-CDF29A26799C}" name="A" dataDxfId="172"/>
    <tableColumn id="3" xr3:uid="{030DE2ED-6A1F-4D56-93C7-751855B2329B}" name="1.2.3 Audiodescripción o Medio Alternativo (grabado)" dataDxfId="171"/>
    <tableColumn id="4" xr3:uid="{2B30DEC7-78F6-484C-94D8-2E6EE4650941}" name="Resultado" dataDxfId="1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7" xr:uid="{09B026CC-1CC5-4030-B68D-EF6C8247C8D6}" name="T1_2_4" displayName="T1_2_4" ref="A46:D50" totalsRowShown="0" headerRowBorderDxfId="165" tableBorderDxfId="166" totalsRowBorderDxfId="164">
  <tableColumns count="4">
    <tableColumn id="1" xr3:uid="{C1E9470E-D53B-469E-8F28-1095E2CAD652}" name="id" dataDxfId="30"/>
    <tableColumn id="2" xr3:uid="{E9E810D6-1A6F-499B-9108-9E3C1B7FCD02}" name="AA" dataDxfId="163"/>
    <tableColumn id="3" xr3:uid="{BA860851-3EE4-4599-82EB-33807F1E3986}" name="1.2.4 Subtítulos (en directo)" dataDxfId="162"/>
    <tableColumn id="4" xr3:uid="{508ED509-4192-4F97-802B-723A06BBABA5}" name="Resultado" dataDxfId="1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8" xr:uid="{93113942-221A-41FA-A893-89100F6D2396}" name="T1_2_5" displayName="T1_2_5" ref="A53:D57" totalsRowShown="0" headerRowBorderDxfId="156" tableBorderDxfId="157" totalsRowBorderDxfId="155">
  <tableColumns count="4">
    <tableColumn id="1" xr3:uid="{5E444895-586A-44F1-81A2-71A1575F8BE4}" name="id" dataDxfId="29"/>
    <tableColumn id="2" xr3:uid="{D0892965-38A2-4E32-A775-6CBF59DD16A7}" name="AA" dataDxfId="154"/>
    <tableColumn id="3" xr3:uid="{1F2EB014-C2EE-4150-A759-1151CEC15668}" name="1.2.5 Audiodescripción (grabado)" dataDxfId="153"/>
    <tableColumn id="4" xr3:uid="{4CCE22AE-F083-43B9-BB6F-619C66CA9F64}" name="Resultado" dataDxfId="1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9" xr:uid="{0B352654-87EB-4648-84EA-A9539778BB23}" name="T1_3_1" displayName="T1_3_1" ref="A60:D64" totalsRowShown="0" headerRowBorderDxfId="147" tableBorderDxfId="148" totalsRowBorderDxfId="146">
  <tableColumns count="4">
    <tableColumn id="1" xr3:uid="{18BEE0B4-628D-4F6B-B06E-9BD48118D8FA}" name="id" dataDxfId="28"/>
    <tableColumn id="2" xr3:uid="{A429CAD6-5CA7-47CC-B07A-95DC97C98DFB}" name="A" dataDxfId="145"/>
    <tableColumn id="3" xr3:uid="{FE044AD5-AA4F-450C-9621-58CFF63D6112}" name="1.3.1 Información y relaciones" dataDxfId="144"/>
    <tableColumn id="4" xr3:uid="{CFEC0ECD-9A57-4D60-A714-78D79A120ED8}" name="Resultado" dataDxfId="14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0" xr:uid="{8B481CE6-303D-40DE-843A-FA6FA27AB573}" name="T1_3_2" displayName="T1_3_2" ref="A67:D71" totalsRowShown="0" headerRowBorderDxfId="138" tableBorderDxfId="139" totalsRowBorderDxfId="137">
  <tableColumns count="4">
    <tableColumn id="1" xr3:uid="{C0166B37-F555-4146-A54A-7EE89067D3CA}" name="id" dataDxfId="27"/>
    <tableColumn id="2" xr3:uid="{9D099F2D-0158-4AF2-BBCD-747645FADE32}" name="A" dataDxfId="136"/>
    <tableColumn id="3" xr3:uid="{8F8D2B15-A5E3-472D-BC3A-03E7F2E36594}" name="1.3.2 Secuencia significativa" dataDxfId="135"/>
    <tableColumn id="4" xr3:uid="{7EA0B8E2-7FBD-4E2A-84CF-38A01326845D}" name="Resultado" dataDxfId="13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1" xr:uid="{9CA1D901-5D01-425A-A905-26C393DF6402}" name="T1_3_3" displayName="T1_3_3" ref="A74:D78" totalsRowShown="0" headerRowBorderDxfId="129" tableBorderDxfId="130" totalsRowBorderDxfId="128">
  <tableColumns count="4">
    <tableColumn id="1" xr3:uid="{3F87C301-7EC8-4456-9AAA-52116632E8EE}" name="id" dataDxfId="26"/>
    <tableColumn id="2" xr3:uid="{EB64C99A-4CD4-49D6-BA7D-7D75E93C4343}" name="A" dataDxfId="127"/>
    <tableColumn id="3" xr3:uid="{5487546F-5A12-46F9-93E3-8FC9D3B8F09F}" name="1.3.3 Características sensoriales" dataDxfId="126"/>
    <tableColumn id="4" xr3:uid="{DE881B5D-6F59-4CE0-91F9-64B608A32658}" name="Resultado" dataDxfId="12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2" xr:uid="{B72E8800-92A9-4634-8A3A-548469F6A2EC}" name="T1_3_4" displayName="T1_3_4" ref="A81:D85" totalsRowShown="0" headerRowBorderDxfId="120" tableBorderDxfId="121" totalsRowBorderDxfId="119">
  <tableColumns count="4">
    <tableColumn id="1" xr3:uid="{E697FBF3-CA90-4B8C-9C2A-0D05B0FAF8AA}" name="id" dataDxfId="25"/>
    <tableColumn id="2" xr3:uid="{EAA3A76A-9DC8-4E26-8BDD-B9306AD18196}" name="AA" dataDxfId="118"/>
    <tableColumn id="3" xr3:uid="{19DE2BE6-D1E3-44C1-A1AA-77F3ED918ABE}" name="1.3.4 Orientación" dataDxfId="117"/>
    <tableColumn id="4" xr3:uid="{86334BBC-7E14-4751-9AB5-3D3B39177944}" name="Resultado" dataDxfId="11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3" xr:uid="{356AC1BF-5EFA-4F6F-8384-C6993A7A95DC}" name="T1_3_5" displayName="T1_3_5" ref="A88:D92" totalsRowShown="0" headerRowBorderDxfId="111" tableBorderDxfId="112" totalsRowBorderDxfId="110">
  <tableColumns count="4">
    <tableColumn id="1" xr3:uid="{3EBF2F0B-B6EC-4985-962A-51667F3B6539}" name="id" dataDxfId="24"/>
    <tableColumn id="2" xr3:uid="{1E16B282-D7E9-4287-B760-0D71945B3864}" name="AA" dataDxfId="109"/>
    <tableColumn id="3" xr3:uid="{29D7282F-D53B-4F49-BC60-24DA6C89B66A}" name="1.3.5 Identificar el propósito de campo" dataDxfId="108"/>
    <tableColumn id="4" xr3:uid="{654F9EED-F3C1-4828-A5D8-54A78AA53DF8}" name="Resultado" dataDxfId="107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4" xr:uid="{59161E00-A94C-45BD-857A-96E3EF98754B}" name="T1_4_1" displayName="T1_4_1" ref="A95:D99" totalsRowShown="0" headerRowBorderDxfId="102" tableBorderDxfId="103" totalsRowBorderDxfId="101">
  <tableColumns count="4">
    <tableColumn id="1" xr3:uid="{A12E8BF5-568C-4F5D-B7B7-3F7917F8CFF3}" name="id" dataDxfId="23"/>
    <tableColumn id="2" xr3:uid="{E3728D52-69A7-4FB0-80C8-D84FC862657B}" name="A" dataDxfId="100"/>
    <tableColumn id="3" xr3:uid="{04F550B9-EA72-42FB-A7E5-B0E5BCDF7185}" name="1.4.1 Uso del Color" dataDxfId="99"/>
    <tableColumn id="4" xr3:uid="{AD5ACE32-E0DB-4CAF-8152-8A84F41941CB}" name="Resultado" dataDxfId="98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5" xr:uid="{BBF42E9D-26F8-4014-93B2-599F8C31DC87}" name="T1_4_2" displayName="T1_4_2" ref="A102:D106" totalsRowShown="0" headerRowBorderDxfId="93" tableBorderDxfId="94" totalsRowBorderDxfId="92">
  <tableColumns count="4">
    <tableColumn id="1" xr3:uid="{D546214B-AB7E-47B4-ABB7-20AABCA2DAC6}" name="id" dataDxfId="22"/>
    <tableColumn id="2" xr3:uid="{40ED31A7-DEF2-43B4-B7A9-CDCB12618B2C}" name="A" dataDxfId="91"/>
    <tableColumn id="3" xr3:uid="{C1367A8F-C5AE-4FA3-83AD-33214AD525A5}" name="1.4.2 Control del audio" dataDxfId="90"/>
    <tableColumn id="4" xr3:uid="{520BF725-EC71-4D72-A5B1-A0F66F7CFEB1}" name="Resultado" dataDxfId="89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6" xr:uid="{192EA7C7-BF03-40B6-A10F-F1F6185473A6}" name="T1_4_3" displayName="T1_4_3" ref="A109:D113" totalsRowShown="0" headerRowBorderDxfId="84" tableBorderDxfId="85" totalsRowBorderDxfId="83">
  <tableColumns count="4">
    <tableColumn id="1" xr3:uid="{1D3350F1-7E3D-4E67-B48B-DDDFE42C78CE}" name="id" dataDxfId="21"/>
    <tableColumn id="2" xr3:uid="{84FC8645-C82C-491E-8001-AB3E41D8ED7C}" name="AA" dataDxfId="82"/>
    <tableColumn id="3" xr3:uid="{F099BEA1-3B4E-4733-98F9-D2989B57B470}" name="1.4.3 Contraste (mínimo)" dataDxfId="81"/>
    <tableColumn id="4" xr3:uid="{A036D188-F80E-4D58-A23A-0A337F666A23}" name="Resultado" dataDxfId="80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7" xr:uid="{5858D83E-95F2-467F-A3A6-8B768C1CB8A6}" name="T1_4_4" displayName="T1_4_4" ref="A116:D120" totalsRowShown="0" headerRowBorderDxfId="75" tableBorderDxfId="76" totalsRowBorderDxfId="74">
  <tableColumns count="4">
    <tableColumn id="1" xr3:uid="{B324B5EA-891A-4E96-90AC-3D6AD4900E2E}" name="id" dataDxfId="20"/>
    <tableColumn id="2" xr3:uid="{0F6BDC62-8FE7-4B60-9BDE-EA9CC364DAE3}" name="AA" dataDxfId="73"/>
    <tableColumn id="3" xr3:uid="{FA1F4D7A-F117-4B85-B608-46CD7EC08DC7}" name="1.4.4 Redimensión del texto" dataDxfId="72"/>
    <tableColumn id="4" xr3:uid="{3EFF179E-1AD6-4EA2-8D32-0F6535475508}" name="Resultado" dataDxfId="71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8" xr:uid="{5D4018AF-3A93-4A02-B360-777F73688A7B}" name="T1_4_5" displayName="T1_4_5" ref="A123:D127" totalsRowShown="0" headerRowBorderDxfId="66" tableBorderDxfId="67" totalsRowBorderDxfId="65">
  <tableColumns count="4">
    <tableColumn id="1" xr3:uid="{F2D84AB9-856C-498D-B3E9-0988873148B3}" name="id" dataDxfId="19"/>
    <tableColumn id="2" xr3:uid="{5423A527-D655-4A8B-BE59-18F87EE70417}" name="AA" dataDxfId="64"/>
    <tableColumn id="3" xr3:uid="{2AA1EB80-D17C-4E6C-8D36-932798E62CC8}" name="1.4.5 Imágenes de texto" dataDxfId="63"/>
    <tableColumn id="4" xr3:uid="{6810BE79-FFEC-420E-A6DB-4E09E2AB6911}" name="Resultado" dataDxfId="62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9" xr:uid="{6275886D-BDA0-43C1-BE1F-41EAE107DE56}" name="T1_4_10" displayName="T1_4_10" ref="A130:D134" totalsRowShown="0" headerRowBorderDxfId="57" tableBorderDxfId="58" totalsRowBorderDxfId="56">
  <tableColumns count="4">
    <tableColumn id="1" xr3:uid="{A94DEC0C-BC33-4E47-BA5B-F5590D867B81}" name="id" dataDxfId="18"/>
    <tableColumn id="2" xr3:uid="{E1566554-4A13-484E-A0E7-622964E87EF6}" name="AA" dataDxfId="55"/>
    <tableColumn id="3" xr3:uid="{0EB4EB82-65FC-4964-B0BA-A77D886F3262}" name="1.4.10 Reflow" dataDxfId="54"/>
    <tableColumn id="4" xr3:uid="{CDBCF999-DFFA-4A7E-933F-8D092D769BC3}" name="Resultado" dataDxfId="53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0" xr:uid="{2C63A850-36EF-4BF6-85B8-2D00D246152F}" name="T1_4_11" displayName="T1_4_11" ref="A137:D141" totalsRowShown="0" headerRowBorderDxfId="48" tableBorderDxfId="49" totalsRowBorderDxfId="47">
  <tableColumns count="4">
    <tableColumn id="1" xr3:uid="{37867558-8A78-4BF0-BE4B-44CA21809BFE}" name="id" dataDxfId="17"/>
    <tableColumn id="2" xr3:uid="{C8804359-D013-45E3-9B4B-4452B059C9CD}" name="AA" dataDxfId="46"/>
    <tableColumn id="3" xr3:uid="{AAD6C1B4-D4CE-46FA-B04C-B4637E81D1FA}" name="1.4.11 Contraste en elementos no textuales" dataDxfId="45"/>
    <tableColumn id="4" xr3:uid="{EB9B98E0-3969-41CA-BFE8-C4A017C92202}" name="Resultado" dataDxfId="44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1" xr:uid="{F9CB848F-C6BA-4F44-9330-1D062DA67A87}" name="T1_4_12" displayName="T1_4_12" ref="A144:D148" totalsRowShown="0" headerRowBorderDxfId="39" tableBorderDxfId="40" totalsRowBorderDxfId="38">
  <tableColumns count="4">
    <tableColumn id="1" xr3:uid="{05834D91-BC78-4AED-93E6-0E02B67F7DE3}" name="id" dataDxfId="16"/>
    <tableColumn id="2" xr3:uid="{AC4CD359-891A-4122-8C4F-340343E1FE6C}" name="AA" dataDxfId="37"/>
    <tableColumn id="3" xr3:uid="{8AE13EC5-A5EB-4448-BEED-F17385A102B3}" name="1.4.12 Espaciado en el texto" dataDxfId="36"/>
    <tableColumn id="4" xr3:uid="{4E4B1765-1ADC-4099-9AAE-96CB86265B37}" name="Resultado" dataDxfId="35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2" xr:uid="{F006BFC7-DCE0-4D5C-BCF0-EED3ED731975}" name="T1_4_13" displayName="T1_4_13" ref="A151:D155" totalsRowShown="0" headerRowBorderDxfId="11" tableBorderDxfId="12" totalsRowBorderDxfId="10">
  <tableColumns count="4">
    <tableColumn id="1" xr3:uid="{6EBFB6A4-51B5-4997-9523-1FB5DDFD5AAC}" name="id" dataDxfId="9"/>
    <tableColumn id="2" xr3:uid="{F5E840F4-BB7C-472D-B48C-6658E9D457C5}" name="AA" dataDxfId="8"/>
    <tableColumn id="3" xr3:uid="{2A81E726-88A1-4BD4-AC4A-BDEEFC43D491}" name="1.4.13 Contenido en over o focus" dataDxfId="7"/>
    <tableColumn id="4" xr3:uid="{6253DAD1-A495-401F-B597-567D167A9B96}" name="Resultado" dataDxfId="6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6" xr:uid="{244C9C90-3477-41E9-B8A3-4A20F39123F4}" name="T2_1_1" displayName="T2_1_1" ref="A18:D22" totalsRowShown="0" headerRowBorderDxfId="371" tableBorderDxfId="372" totalsRowBorderDxfId="370">
  <tableColumns count="4">
    <tableColumn id="1" xr3:uid="{3CD16A40-B4EE-4CF3-AB77-A6514E6A36C0}" name="id" dataDxfId="231"/>
    <tableColumn id="2" xr3:uid="{3BF7E378-ACD7-4214-AEFE-FB78C913E08B}" name="A" dataDxfId="369"/>
    <tableColumn id="3" xr3:uid="{80CE51C6-AC64-455C-9FDB-2A45CAD1FC66}" name="2.1.1 Teclado" dataDxfId="368"/>
    <tableColumn id="4" xr3:uid="{CCF826F7-5F4B-4C6E-B838-8A629392E4D8}" name="Resultado" dataDxfId="367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7" xr:uid="{43C037E7-1CA2-4489-BBDC-6BC085271D04}" name="T2_1_2" displayName="T2_1_2" ref="A25:D29" totalsRowShown="0" headerRowBorderDxfId="362" tableBorderDxfId="363" totalsRowBorderDxfId="361">
  <tableColumns count="4">
    <tableColumn id="1" xr3:uid="{5A559A77-A4E4-454D-9EDF-8715C5B8BD7F}" name="id" dataDxfId="230"/>
    <tableColumn id="2" xr3:uid="{A8828511-B386-4C12-A72F-01BAC5CEED1C}" name="A" dataDxfId="360"/>
    <tableColumn id="3" xr3:uid="{AD6C8991-6389-4C16-B1D8-DB6166104F86}" name="2.1.2 Sin trampas para el foco del teclado" dataDxfId="359"/>
    <tableColumn id="4" xr3:uid="{3630E4E0-0946-4D1C-B87D-EC311471D10F}" name="Resultado" dataDxfId="358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8" xr:uid="{BEFF0600-6992-4994-ACF0-EB4246FBAECA}" name="T2_1_4" displayName="T2_1_4" ref="A32:D36" totalsRowShown="0" headerRowBorderDxfId="353" tableBorderDxfId="354" totalsRowBorderDxfId="352">
  <tableColumns count="4">
    <tableColumn id="1" xr3:uid="{15D83402-5572-48BC-A1A1-0FFB195E4340}" name="id" dataDxfId="229"/>
    <tableColumn id="2" xr3:uid="{E1A0C404-2B6D-4B0C-B0AC-1E4C8A06AAF1}" name="A" dataDxfId="351"/>
    <tableColumn id="3" xr3:uid="{012DD896-5696-4A06-AC63-0F8C193AE1A2}" name="2.1.4  Atajos con teclas de caracteres" dataDxfId="350"/>
    <tableColumn id="4" xr3:uid="{F1344288-E05E-43F9-B885-0EBC1161CD68}" name="Resultado" dataDxfId="349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9" xr:uid="{3C141AEF-0D6C-4997-9307-E62CE4C20B05}" name="T2_2_1" displayName="T2_2_1" ref="A39:D43" totalsRowShown="0" headerRowBorderDxfId="344" tableBorderDxfId="345" totalsRowBorderDxfId="343">
  <tableColumns count="4">
    <tableColumn id="1" xr3:uid="{E7FB2C73-5433-48A1-9ADD-72D1D11A7E8C}" name="id" dataDxfId="228"/>
    <tableColumn id="2" xr3:uid="{E27E62AB-3436-45D5-A9D5-AFB9A2A3E1E1}" name="A" dataDxfId="342"/>
    <tableColumn id="3" xr3:uid="{7D33F1EE-0877-412F-9D6D-F48A3D8AB57E}" name="2.2.1 Tiempo ajustable" dataDxfId="341"/>
    <tableColumn id="4" xr3:uid="{5F54BBE9-7369-46AD-81EB-A1C5E4F67C7A}" name="Resultado" dataDxfId="34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0" xr:uid="{249368FB-43BC-43FC-BC6D-3B947A3F19CC}" name="T2_2_2" displayName="T2_2_2" ref="A46:D50" totalsRowShown="0" headerRowBorderDxfId="335" tableBorderDxfId="336" totalsRowBorderDxfId="334">
  <tableColumns count="4">
    <tableColumn id="1" xr3:uid="{C3272C33-77E5-43F7-87E0-BF59572A944F}" name="id" dataDxfId="227"/>
    <tableColumn id="2" xr3:uid="{D13013D6-F80E-488B-B216-9AF035D20136}" name="A" dataDxfId="333"/>
    <tableColumn id="3" xr3:uid="{BAF830A9-1A74-4F2F-A6BC-FB1AA3154BA3}" name="2.2.2 Poner en pausa, detener, ocultar" dataDxfId="332"/>
    <tableColumn id="4" xr3:uid="{218802FE-D8D9-4A8F-A7B5-FE3AC81D8875}" name="Resultado" dataDxfId="331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1" xr:uid="{38D3770A-13BB-42EF-84FC-9C5F854E04D4}" name="T2_3_1" displayName="T2_3_1" ref="A53:D57" totalsRowShown="0" headerRowBorderDxfId="326" tableBorderDxfId="327" totalsRowBorderDxfId="325">
  <tableColumns count="4">
    <tableColumn id="1" xr3:uid="{3E35178E-C72F-4FCD-912C-3769F7E9980F}" name="id" dataDxfId="226"/>
    <tableColumn id="2" xr3:uid="{D811FDB9-35A2-41E7-910B-23894C404635}" name="A" dataDxfId="324"/>
    <tableColumn id="3" xr3:uid="{78723328-DB69-47EF-946D-CF13E1B800FA}" name="2.3.1 Umbral de tres destellos o menos" dataDxfId="323"/>
    <tableColumn id="4" xr3:uid="{DF941D19-095A-43BC-B1E0-5AA27888EE5E}" name="Resultado" dataDxfId="322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2" xr:uid="{60C440EE-64C6-446F-AF6D-D9253D4D9056}" name="T2_4_1" displayName="T2_4_1" ref="A60:D64" totalsRowShown="0" headerRowBorderDxfId="317" tableBorderDxfId="318" totalsRowBorderDxfId="316">
  <tableColumns count="4">
    <tableColumn id="1" xr3:uid="{796467A5-CD51-4747-AD5E-C1C5DAA33D23}" name="id" dataDxfId="225"/>
    <tableColumn id="2" xr3:uid="{400A66E6-4177-4F52-B644-30B015B7D674}" name="A" dataDxfId="315"/>
    <tableColumn id="3" xr3:uid="{5C21DA13-A346-419E-A823-61458AC8217E}" name="2.4.1 Evitar bloques" dataDxfId="314"/>
    <tableColumn id="4" xr3:uid="{9B6D9C3C-0AC3-4823-86E7-74CF9E3D8FF1}" name="Resultado" dataDxfId="313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3" xr:uid="{3968040B-2D14-45AA-B0FC-F22210554582}" name="T2_4_2" displayName="T2_4_2" ref="A67:D71" totalsRowShown="0" headerRowBorderDxfId="308" tableBorderDxfId="309" totalsRowBorderDxfId="307">
  <tableColumns count="4">
    <tableColumn id="1" xr3:uid="{04B02F53-5C9B-4E89-9CC1-1E105A5B9636}" name="id" dataDxfId="224"/>
    <tableColumn id="2" xr3:uid="{11DC4552-0269-4DC8-A2FB-EB04121E01AB}" name="A" dataDxfId="306"/>
    <tableColumn id="3" xr3:uid="{EDE38239-7018-45A9-825D-8F35C21A815E}" name="2.4.2 Titulado de páginas" dataDxfId="305"/>
    <tableColumn id="4" xr3:uid="{645802B8-BACE-49B3-90E3-1151CC799CF1}" name="Resultado" dataDxfId="304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4" xr:uid="{1F144E11-1641-4872-8CD1-07FBEA381598}" name="T2_4_3" displayName="T2_4_3" ref="A74:D78" totalsRowShown="0" headerRowBorderDxfId="299" tableBorderDxfId="300" totalsRowBorderDxfId="298">
  <tableColumns count="4">
    <tableColumn id="1" xr3:uid="{5972E845-9541-4D4A-BA1D-8C9695AA087C}" name="id" dataDxfId="223"/>
    <tableColumn id="2" xr3:uid="{9DCEC976-859C-4A89-AAB5-9D1AAF5E8A60}" name="A" dataDxfId="297"/>
    <tableColumn id="3" xr3:uid="{D7934736-0A0E-4A8F-B675-1844B7E3CDE4}" name="2.4.3 Orden del foco" dataDxfId="296"/>
    <tableColumn id="4" xr3:uid="{F0012DD1-1D8B-4877-BDD4-C902088E77A0}" name="Resultado" dataDxfId="295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5" xr:uid="{82D1C687-4B9B-42E3-8EA2-FA44F4A4FAD7}" name="T2_4_4" displayName="T2_4_4" ref="A81:D85" totalsRowShown="0" headerRowBorderDxfId="290" tableBorderDxfId="291" totalsRowBorderDxfId="289">
  <tableColumns count="4">
    <tableColumn id="1" xr3:uid="{9A88F229-8EF6-4477-8A61-798D2DF4E9BB}" name="id" dataDxfId="222"/>
    <tableColumn id="2" xr3:uid="{167DC39F-559D-4D6D-B092-17FC34AAE614}" name="A" dataDxfId="288"/>
    <tableColumn id="3" xr3:uid="{059C9EF1-634A-45A2-B99E-C07D58139CD0}" name="2.4.4 Propósito de los enlaces (en contexto)" dataDxfId="287"/>
    <tableColumn id="4" xr3:uid="{AF6EDC17-E145-4A88-9B81-B4618127527E}" name="Resultado" dataDxfId="286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6" xr:uid="{722ADF12-5ACC-4F1A-8A52-9CA07A6BE60B}" name="T2_4_5" displayName="T2_4_5" ref="A88:D92" totalsRowShown="0" headerRowBorderDxfId="281" tableBorderDxfId="282" totalsRowBorderDxfId="280">
  <tableColumns count="4">
    <tableColumn id="1" xr3:uid="{AFB68C3B-8E39-449C-9B2C-DBF37CBF9367}" name="id" dataDxfId="221"/>
    <tableColumn id="2" xr3:uid="{51309480-2C2B-4E7C-8F5B-87500CF00D08}" name="AA" dataDxfId="279"/>
    <tableColumn id="3" xr3:uid="{B8FFCC68-5685-400A-9FF8-14EC3048B645}" name="2.4.5 Múltiples vías" dataDxfId="278"/>
    <tableColumn id="4" xr3:uid="{8EF90C0F-0CDD-4EBC-8DBA-42147A82EED2}" name="Resultado" dataDxfId="277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7" xr:uid="{C058B088-FB9B-4341-BF01-1C03B6B8070B}" name="T2_4_6" displayName="T2_4_6" ref="A95:D99" totalsRowShown="0" headerRowBorderDxfId="272" tableBorderDxfId="273" totalsRowBorderDxfId="271">
  <tableColumns count="4">
    <tableColumn id="1" xr3:uid="{B9ADEA61-0160-41E5-B759-D5614C575555}" name="id" dataDxfId="220"/>
    <tableColumn id="2" xr3:uid="{638794CF-DA38-4661-958C-7786B0629CB8}" name="AA" dataDxfId="270"/>
    <tableColumn id="3" xr3:uid="{70D0AFFA-FD6F-49C1-BABA-8F6D123B5F6B}" name="2.4.6 Encabezados y etiquetas" dataDxfId="269"/>
    <tableColumn id="4" xr3:uid="{85DD8038-9CB8-4A3E-BAEA-BA557C8F7634}" name="Resultado" dataDxfId="268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8" xr:uid="{8B5AD038-BE7A-4F6F-9CF3-7465D58BF161}" name="T2_4_7" displayName="T2_4_7" ref="A102:D106" totalsRowShown="0" headerRowBorderDxfId="263" tableBorderDxfId="264" totalsRowBorderDxfId="262">
  <tableColumns count="4">
    <tableColumn id="1" xr3:uid="{0156DD9C-86CA-4F09-9C1B-1C0FFC380430}" name="id" dataDxfId="219"/>
    <tableColumn id="2" xr3:uid="{1545B0BC-8A36-44E0-A720-A7F7A94789E5}" name="AA" dataDxfId="261"/>
    <tableColumn id="3" xr3:uid="{449DE011-475B-45C4-B3E8-542FF1DE8BCF}" name="2.4.7 Foco visible" dataDxfId="260"/>
    <tableColumn id="4" xr3:uid="{F4F0C7AD-DEF4-4DA9-ADB9-D8E9F9562A0A}" name="Resultado" dataDxfId="259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9" xr:uid="{6E4F2F19-C3A6-4F8B-842B-8EFA023C496E}" name="T2_5_1" displayName="T2_5_1" ref="A109:D113" totalsRowShown="0" headerRowBorderDxfId="254" tableBorderDxfId="255" totalsRowBorderDxfId="253">
  <tableColumns count="4">
    <tableColumn id="1" xr3:uid="{95947E24-3448-415A-B6D1-44E6B370F18B}" name="id" dataDxfId="218"/>
    <tableColumn id="2" xr3:uid="{84C54CD5-0162-4B1E-BA53-5208DD58B9FE}" name="A" dataDxfId="252"/>
    <tableColumn id="3" xr3:uid="{9573F150-6C24-4F92-AA7E-D4002EB6A777}" name="2.5.1 Gestos del puntero" dataDxfId="251"/>
    <tableColumn id="4" xr3:uid="{20B1B290-E6A7-439B-912A-4163633D473C}" name="Resultado" dataDxfId="250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0" xr:uid="{72DA0322-FB55-4D01-84B1-AA8CDD3F0B1B}" name="T2_5_2" displayName="T2_5_2" ref="A116:D120" totalsRowShown="0" headerRowBorderDxfId="245" tableBorderDxfId="246" totalsRowBorderDxfId="244">
  <tableColumns count="4">
    <tableColumn id="1" xr3:uid="{1854C995-949A-4E9C-B63A-A9DA53F2A886}" name="id" dataDxfId="217"/>
    <tableColumn id="2" xr3:uid="{0E9480A1-7C34-4CBD-8542-3D174A9346F4}" name="A" dataDxfId="243"/>
    <tableColumn id="3" xr3:uid="{5BC45E61-717E-46CA-B886-66A85C09D8B9}" name="2.5.2 Cancelación del puntero" dataDxfId="242"/>
    <tableColumn id="4" xr3:uid="{1BE7D5F2-4AC3-4EDA-931C-D75D118E8236}" name="Resultado" dataDxfId="241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1" xr:uid="{98CE9461-2FDF-47F8-87BA-9C057559728A}" name="T2_5_3" displayName="T2_5_3" ref="A123:D127" totalsRowShown="0" headerRowBorderDxfId="236" tableBorderDxfId="237" totalsRowBorderDxfId="235">
  <tableColumns count="4">
    <tableColumn id="1" xr3:uid="{C848E4BD-19A3-4C4A-B5BF-FD49F0867598}" name="id" dataDxfId="216"/>
    <tableColumn id="2" xr3:uid="{413DBB2E-03BB-4AAB-9236-D97E399CCAB6}" name="A" dataDxfId="234"/>
    <tableColumn id="3" xr3:uid="{BB2B03F8-9A04-4E7A-BE94-AA517E56C3F2}" name="2.5.3 Etiqueta en el nombre" dataDxfId="233"/>
    <tableColumn id="4" xr3:uid="{EC2B8F3E-45AB-47D2-A941-C9630A2E2CCF}" name="Resultado" dataDxfId="232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2" xr:uid="{F832E331-3971-442F-B846-4A4184F4D85B}" name="T2_5_4_" displayName="T2_5_4_" ref="A130:D134" totalsRowShown="0" headerRowBorderDxfId="211" tableBorderDxfId="212" totalsRowBorderDxfId="210">
  <tableColumns count="4">
    <tableColumn id="1" xr3:uid="{5BFC67E8-6244-4E87-98D3-C050E7FB8700}" name="id" dataDxfId="209"/>
    <tableColumn id="2" xr3:uid="{74E8C94A-8DAF-4A54-8F0D-87C868558C35}" name="A" dataDxfId="208"/>
    <tableColumn id="3" xr3:uid="{6D8BE072-0035-4AB4-A069-87B1ED75FAB5}" name="2.5.4. Activación mediante movimiento" dataDxfId="207"/>
    <tableColumn id="4" xr3:uid="{7E871450-57E7-4B66-ACC8-5B253074CCCE}" name="Resultado" dataDxfId="206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6" xr:uid="{6638E184-69B7-4841-80B7-F46C24A18887}" name="T3_1_1" displayName="T3_1_1" ref="A18:D22" totalsRowShown="0" headerRowBorderDxfId="471" tableBorderDxfId="472" totalsRowBorderDxfId="470">
  <tableColumns count="4">
    <tableColumn id="1" xr3:uid="{2C58FA0A-41AD-4AD8-BE4B-E79E84C6F636}" name="id" dataDxfId="394"/>
    <tableColumn id="2" xr3:uid="{F9DAD660-F46E-4E05-96FB-AEE7A8A35C18}" name="A" dataDxfId="469"/>
    <tableColumn id="3" xr3:uid="{B23E7A81-32F2-4631-84A4-34357DC41284}" name="3.1.1 Idioma de la página" dataDxfId="468"/>
    <tableColumn id="4" xr3:uid="{537F9DE6-7C83-4842-8DEE-C1EA1753066B}" name="Resultado" dataDxfId="467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7" xr:uid="{097CE28B-4126-4064-88FD-D66EBB917C3F}" name="T3_1_2" displayName="T3_1_2" ref="A25:D29" totalsRowShown="0" headerRowBorderDxfId="462" tableBorderDxfId="463" totalsRowBorderDxfId="461">
  <tableColumns count="4">
    <tableColumn id="1" xr3:uid="{8D70D033-48C5-404D-9F1B-E095F1A98DC0}" name="id" dataDxfId="393"/>
    <tableColumn id="2" xr3:uid="{5A3A6692-4060-4F9F-937E-CD5E046E9C48}" name="AA" dataDxfId="460"/>
    <tableColumn id="3" xr3:uid="{DAE894E0-9DC2-40A1-B224-8FCE08FA45B9}" name="3.1.2 Idioma de las partes" dataDxfId="459"/>
    <tableColumn id="4" xr3:uid="{C1128E1B-6850-42B5-8FA2-3FF2A581CE69}" name="Resultado" dataDxfId="45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8" xr:uid="{0BEECFCA-2DCB-4DE6-9EC3-207B6ACB7EF9}" name="T3_2_1" displayName="T3_2_1" ref="A32:D36" totalsRowShown="0" headerRowBorderDxfId="453" tableBorderDxfId="454" totalsRowBorderDxfId="452">
  <tableColumns count="4">
    <tableColumn id="1" xr3:uid="{99009D2B-D23F-4626-9CC0-64783EDC5E38}" name="id" dataDxfId="392"/>
    <tableColumn id="2" xr3:uid="{98B42498-3BFC-4204-A214-1982E2787376}" name="A" dataDxfId="451"/>
    <tableColumn id="3" xr3:uid="{A1039C82-D409-4090-90EF-1744B1669D2F}" name="3.2.1 Al recibir el foco" dataDxfId="450"/>
    <tableColumn id="4" xr3:uid="{3A32F832-4122-4293-822C-BA8930A505DB}" name="Resultado" dataDxfId="449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9" xr:uid="{1E41672E-0C13-4DFA-8CB0-FBA528A3366A}" name="T3_2_2" displayName="T3_2_2" ref="A39:D43" totalsRowShown="0" headerRowBorderDxfId="444" tableBorderDxfId="445" totalsRowBorderDxfId="443">
  <tableColumns count="4">
    <tableColumn id="1" xr3:uid="{68B19240-BF33-4AEC-BC71-4872AC94812B}" name="id" dataDxfId="391"/>
    <tableColumn id="2" xr3:uid="{9A4A224E-74C9-413D-9BF6-1CCE00E793F8}" name="A" dataDxfId="442"/>
    <tableColumn id="3" xr3:uid="{B0E10A6B-0927-42F3-9E0D-535BAC0A5B96}" name="3.2.2 Al recibir entradas" dataDxfId="441"/>
    <tableColumn id="4" xr3:uid="{0DF4C5D6-EC61-43DE-A7AE-52B8B6C10D9B}" name="Resultado" dataDxfId="440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0" xr:uid="{5D81785E-8D79-406C-B5FB-7AFB8B467E0D}" name="T3_2_3" displayName="T3_2_3" ref="A46:D50" totalsRowShown="0" headerRowBorderDxfId="435" tableBorderDxfId="436" totalsRowBorderDxfId="434">
  <tableColumns count="4">
    <tableColumn id="1" xr3:uid="{EB2E07F2-8FAD-4260-8F0C-C43CB4A48051}" name="id" dataDxfId="390"/>
    <tableColumn id="2" xr3:uid="{9F29D5E9-F014-4ADE-A6F5-49FB191A9E92}" name="AA" dataDxfId="433"/>
    <tableColumn id="3" xr3:uid="{452017A3-5346-4E3C-B22B-66DDF9EFA81E}" name="3.2.3 Navegación coherente" dataDxfId="432"/>
    <tableColumn id="4" xr3:uid="{F59D4C33-9D1D-44F7-B0DD-CEA101301070}" name="Resultado" dataDxfId="431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1" xr:uid="{6EF1F013-CE37-405C-9E8E-411E3199F08B}" name="T3_2_4" displayName="T3_2_4" ref="A53:D57" totalsRowShown="0" headerRowBorderDxfId="426" tableBorderDxfId="427" totalsRowBorderDxfId="425">
  <tableColumns count="4">
    <tableColumn id="1" xr3:uid="{0927644A-904C-4673-9D21-85ECCB7C0D74}" name="id" dataDxfId="389"/>
    <tableColumn id="2" xr3:uid="{861A8BE8-E303-43D4-B505-5CAFD12D060B}" name="AA" dataDxfId="424"/>
    <tableColumn id="3" xr3:uid="{8FAB1E9B-A105-48B9-8BC4-99FFEE0FF9A9}" name="3.2.4 Identificación coherente" dataDxfId="423"/>
    <tableColumn id="4" xr3:uid="{D10D60F4-37DC-4292-AC5D-4B555219E163}" name="Resultado" dataDxfId="422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2" xr:uid="{018D061D-E5BB-41EE-AEFF-4A50D0367F7A}" name="T3_3_1" displayName="T3_3_1" ref="A60:D64" totalsRowShown="0" headerRowBorderDxfId="417" tableBorderDxfId="418" totalsRowBorderDxfId="416">
  <tableColumns count="4">
    <tableColumn id="1" xr3:uid="{F18A105D-52C3-4EDC-81F3-8CEA2ACEFB59}" name="id" dataDxfId="388"/>
    <tableColumn id="2" xr3:uid="{2F89CAB3-BCD9-4E02-ADC1-2977EF212A69}" name="A" dataDxfId="415"/>
    <tableColumn id="3" xr3:uid="{692686F4-E882-49FC-8F09-9C47EB925F0C}" name="3.3.1 Identificación de errores" dataDxfId="414"/>
    <tableColumn id="4" xr3:uid="{20716B94-6DB7-40CD-ACFA-6FE78F45BBC4}" name="Resultado" dataDxfId="413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3" xr:uid="{1B8A55D8-57A2-4335-AA99-D859B7A84FE6}" name="T3_3_2" displayName="T3_3_2" ref="A67:D71" totalsRowShown="0" headerRowBorderDxfId="408" tableBorderDxfId="409" totalsRowBorderDxfId="407">
  <tableColumns count="4">
    <tableColumn id="1" xr3:uid="{1A7CFA0A-5EB5-4795-BD10-9748854EEEAB}" name="id" dataDxfId="387"/>
    <tableColumn id="2" xr3:uid="{3D153D8A-A52E-4B64-B09D-39E8463780AB}" name="A" dataDxfId="406"/>
    <tableColumn id="3" xr3:uid="{959C5BFC-46B8-4AD4-8345-97BC7CCA838A}" name="3.3.2 Etiquetas o instrucciones" dataDxfId="405"/>
    <tableColumn id="4" xr3:uid="{206AA248-A4D4-48D9-BD96-5EA3469ADB81}" name="Resultado" dataDxfId="404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4" xr:uid="{7A48661B-3187-494C-8D1C-F7DA3118193C}" name="T3_3_3" displayName="T3_3_3" ref="A74:D78" totalsRowShown="0" headerRowBorderDxfId="399" tableBorderDxfId="400" totalsRowBorderDxfId="398">
  <tableColumns count="4">
    <tableColumn id="1" xr3:uid="{4DE09FF5-B76C-4BEF-B4EF-CD332F694AE3}" name="id" dataDxfId="386"/>
    <tableColumn id="2" xr3:uid="{CA58B6A8-127C-4AE5-ADD9-6E4DF748C2DD}" name="AA" dataDxfId="397"/>
    <tableColumn id="3" xr3:uid="{3D3D1919-1AC6-4BC8-807E-66F8449219DE}" name="3.3.3 Sugerencias ante errores" dataDxfId="396"/>
    <tableColumn id="4" xr3:uid="{918B8A9D-74BF-40E4-A900-267D0EF7EE7B}" name="Resultado" dataDxfId="395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5" xr:uid="{83ED66CE-2D1D-4084-AFE9-A6EA0FAD6AAB}" name="T3_3_4" displayName="T3_3_4" ref="A81:D85" totalsRowShown="0" headerRowBorderDxfId="381" tableBorderDxfId="382" totalsRowBorderDxfId="380">
  <tableColumns count="4">
    <tableColumn id="1" xr3:uid="{83779F15-A07D-4F0A-A068-E6F521276760}" name="id" dataDxfId="379"/>
    <tableColumn id="2" xr3:uid="{A5E11BC7-A127-4DC0-A2E1-42BBBAC7B6D4}" name="AA" dataDxfId="378"/>
    <tableColumn id="3" xr3:uid="{3D869ACC-EB6C-47C5-A47D-1E274B71F715}" name="3.3.4 Prevención de errores (legales, financieros, datos)" dataDxfId="377"/>
    <tableColumn id="4" xr3:uid="{7555D3AC-A65E-4F30-AD4E-198C63F27481}" name="Resultado" dataDxfId="376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3" xr:uid="{F8FE3DC6-442B-47CB-8C60-DB5008BE7E9D}" name="T4_1_1" displayName="T4_1_1" ref="A18:D22" totalsRowShown="0" headerRowBorderDxfId="501" tableBorderDxfId="502" totalsRowBorderDxfId="500">
  <tableColumns count="4">
    <tableColumn id="1" xr3:uid="{DF6A73E0-0177-4775-BA03-6778203E21A6}" name="id" dataDxfId="487"/>
    <tableColumn id="2" xr3:uid="{E81903F4-9C77-4B81-9050-0EB7CCE98CDB}" name="A" dataDxfId="499"/>
    <tableColumn id="3" xr3:uid="{2A0CE237-17A1-48D1-8093-C67A1EA8F4AD}" name="4.1.1 Procesamiento" dataDxfId="498"/>
    <tableColumn id="4" xr3:uid="{247A16E5-5C30-4F16-94D6-8CD3D8C4AED7}" name="Resultado" dataDxfId="497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4" xr:uid="{09A9A254-0857-44A4-805E-953134754712}" name="T4_1_2" displayName="T4_1_2" ref="A25:D29" totalsRowShown="0" headerRowBorderDxfId="492" tableBorderDxfId="493" totalsRowBorderDxfId="491">
  <tableColumns count="4">
    <tableColumn id="1" xr3:uid="{76A92F08-7BE2-46EB-9C48-0D89B0B13100}" name="id" dataDxfId="486"/>
    <tableColumn id="2" xr3:uid="{CFEB2713-C4E4-4104-8C44-1689C089D37C}" name="A" dataDxfId="490"/>
    <tableColumn id="3" xr3:uid="{2CB440F2-44B3-4C96-9A4F-A3F5FAA7F755}" name="4.1.2 Nombre, función, valor" dataDxfId="489"/>
    <tableColumn id="4" xr3:uid="{C6FC69F8-8749-4F4D-937C-181CE93AEFF0}" name="Resultado" dataDxfId="488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5" xr:uid="{A0617BC4-EBCD-4545-A54A-769F4E52DB95}" name="T4_1_3" displayName="T4_1_3" ref="A32:D36" totalsRowShown="0" headerRowBorderDxfId="481" tableBorderDxfId="482" totalsRowBorderDxfId="480">
  <tableColumns count="4">
    <tableColumn id="1" xr3:uid="{EA0D7A53-1151-4495-B49E-AC57166CB429}" name="id" dataDxfId="479"/>
    <tableColumn id="2" xr3:uid="{9AE26723-A1AD-45B8-BCC2-4C90C581D429}" name="AA" dataDxfId="478"/>
    <tableColumn id="3" xr3:uid="{7F6CF22C-C53E-4460-BD04-BDB4E348F8AA}" name="4.1.3 Mensajes de estado" dataDxfId="477"/>
    <tableColumn id="4" xr3:uid="{55986C30-CDB2-4E8B-B3CE-B4A163B06B3D}" name="Resultado" dataDxfId="476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F851D7-92EF-40C7-A95D-FA2D115B7A23}" name="EntradasValidas" displayName="EntradasValidas" ref="A1:A5" totalsRowShown="0">
  <autoFilter ref="A1:A5" xr:uid="{ACF851D7-92EF-40C7-A95D-FA2D115B7A23}"/>
  <tableColumns count="1">
    <tableColumn id="1" xr3:uid="{21BDE41D-6384-4014-BAB5-2969BAD8A7F0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inicio.com/contacto/lega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nicio.com/contacto" TargetMode="External"/><Relationship Id="rId1" Type="http://schemas.openxmlformats.org/officeDocument/2006/relationships/hyperlink" Target="http://www.inicio.com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1.xml"/><Relationship Id="rId4" Type="http://schemas.openxmlformats.org/officeDocument/2006/relationships/hyperlink" Target="http://www.inicio.com/contacto/accesibilida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0" Type="http://schemas.openxmlformats.org/officeDocument/2006/relationships/table" Target="../tables/table21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table" Target="../tables/table39.xml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table" Target="../tables/table4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inicio.com/contacto/accesibilidad" TargetMode="External"/><Relationship Id="rId3" Type="http://schemas.openxmlformats.org/officeDocument/2006/relationships/hyperlink" Target="http://www.inicio.com/contacto/legal" TargetMode="External"/><Relationship Id="rId7" Type="http://schemas.openxmlformats.org/officeDocument/2006/relationships/hyperlink" Target="http://www.inicio.com/contacto/legal" TargetMode="External"/><Relationship Id="rId2" Type="http://schemas.openxmlformats.org/officeDocument/2006/relationships/hyperlink" Target="http://www.inicio.com/contacto" TargetMode="External"/><Relationship Id="rId1" Type="http://schemas.openxmlformats.org/officeDocument/2006/relationships/hyperlink" Target="http://www.inicio.com/" TargetMode="External"/><Relationship Id="rId6" Type="http://schemas.openxmlformats.org/officeDocument/2006/relationships/hyperlink" Target="http://www.inicio.com/contacto" TargetMode="External"/><Relationship Id="rId5" Type="http://schemas.openxmlformats.org/officeDocument/2006/relationships/hyperlink" Target="http://www.inicio.com/" TargetMode="External"/><Relationship Id="rId4" Type="http://schemas.openxmlformats.org/officeDocument/2006/relationships/hyperlink" Target="http://www.inicio.com/contacto/accesibilida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31FC0-A14C-4615-A4A6-46B7E27CA530}">
  <sheetPr codeName="Hoja1"/>
  <dimension ref="A1:C12"/>
  <sheetViews>
    <sheetView topLeftCell="A4" workbookViewId="0">
      <selection activeCell="I25" sqref="I25"/>
    </sheetView>
  </sheetViews>
  <sheetFormatPr baseColWidth="10" defaultRowHeight="16"/>
  <cols>
    <col min="1" max="1" width="5.33203125" customWidth="1"/>
    <col min="2" max="2" width="19.58203125" customWidth="1"/>
    <col min="3" max="3" width="34" bestFit="1" customWidth="1"/>
    <col min="5" max="6" width="11.08203125" customWidth="1"/>
  </cols>
  <sheetData>
    <row r="1" spans="1:3">
      <c r="A1" s="1" t="s">
        <v>0</v>
      </c>
      <c r="B1" t="s">
        <v>3</v>
      </c>
      <c r="C1" t="s">
        <v>4</v>
      </c>
    </row>
    <row r="2" spans="1:3">
      <c r="A2" s="1">
        <v>1</v>
      </c>
      <c r="B2" t="s">
        <v>5</v>
      </c>
      <c r="C2" s="3" t="s">
        <v>6</v>
      </c>
    </row>
    <row r="3" spans="1:3">
      <c r="A3" s="1">
        <v>2</v>
      </c>
      <c r="B3" t="s">
        <v>7</v>
      </c>
      <c r="C3" s="3" t="s">
        <v>8</v>
      </c>
    </row>
    <row r="4" spans="1:3">
      <c r="A4" s="1">
        <v>3</v>
      </c>
      <c r="B4" t="s">
        <v>9</v>
      </c>
      <c r="C4" s="3" t="s">
        <v>10</v>
      </c>
    </row>
    <row r="5" spans="1:3">
      <c r="A5" s="1">
        <v>4</v>
      </c>
      <c r="B5" t="s">
        <v>11</v>
      </c>
      <c r="C5" s="3" t="s">
        <v>12</v>
      </c>
    </row>
    <row r="6" spans="1:3" ht="18.5">
      <c r="B6" s="2"/>
      <c r="C6" s="2"/>
    </row>
    <row r="7" spans="1:3">
      <c r="B7" s="1"/>
    </row>
    <row r="8" spans="1:3">
      <c r="B8" s="1"/>
    </row>
    <row r="9" spans="1:3">
      <c r="B9" s="1"/>
    </row>
    <row r="10" spans="1:3">
      <c r="B10" s="1"/>
    </row>
    <row r="11" spans="1:3">
      <c r="B11" s="1"/>
    </row>
    <row r="12" spans="1:3">
      <c r="B12" s="1"/>
    </row>
  </sheetData>
  <hyperlinks>
    <hyperlink ref="C2" r:id="rId1" xr:uid="{5AD6AAE7-C6B3-4393-A4AD-8242611261A6}"/>
    <hyperlink ref="C3" r:id="rId2" xr:uid="{0BD42326-3D08-493D-B9D5-C6BE5DBBF826}"/>
    <hyperlink ref="C4" r:id="rId3" xr:uid="{DCA05240-8C30-4F33-ABAC-8693ECD58B7C}"/>
    <hyperlink ref="C5" r:id="rId4" xr:uid="{EB8385A2-186F-42E9-8628-E08EFDDA614D}"/>
  </hyperlinks>
  <pageMargins left="0.7" right="0.7" top="0.75" bottom="0.75" header="0.3" footer="0.3"/>
  <pageSetup paperSize="9"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BorrarVentanaInmediato">
                <anchor moveWithCells="1" sizeWithCells="1">
                  <from>
                    <xdr:col>1</xdr:col>
                    <xdr:colOff>1485900</xdr:colOff>
                    <xdr:row>29</xdr:row>
                    <xdr:rowOff>120650</xdr:rowOff>
                  </from>
                  <to>
                    <xdr:col>2</xdr:col>
                    <xdr:colOff>857250</xdr:colOff>
                    <xdr:row>30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Inicio.inicio">
                <anchor moveWithCells="1" sizeWithCells="1">
                  <from>
                    <xdr:col>0</xdr:col>
                    <xdr:colOff>393700</xdr:colOff>
                    <xdr:row>30</xdr:row>
                    <xdr:rowOff>0</xdr:rowOff>
                  </from>
                  <to>
                    <xdr:col>1</xdr:col>
                    <xdr:colOff>876300</xdr:colOff>
                    <xdr:row>31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F2E5-E320-4C6C-B58B-FDC4962F0AF1}">
  <sheetPr codeName="Hoja220"/>
  <dimension ref="A2:M155"/>
  <sheetViews>
    <sheetView workbookViewId="0">
      <selection activeCell="D26" sqref="D26"/>
    </sheetView>
  </sheetViews>
  <sheetFormatPr baseColWidth="10" defaultRowHeight="16"/>
  <cols>
    <col min="1" max="1" width="6.58203125" style="1" customWidth="1"/>
    <col min="2" max="2" width="16.1640625" customWidth="1"/>
    <col min="3" max="3" width="56.58203125" customWidth="1"/>
    <col min="4" max="4" width="11.1640625" customWidth="1"/>
  </cols>
  <sheetData>
    <row r="2" spans="2:13" ht="29.5">
      <c r="B2" s="4" t="s">
        <v>24</v>
      </c>
    </row>
    <row r="3" spans="2:13" ht="25">
      <c r="B3" s="5" t="s">
        <v>25</v>
      </c>
    </row>
    <row r="4" spans="2:13" ht="26" customHeight="1"/>
    <row r="5" spans="2:13" ht="22.5">
      <c r="B5" s="7" t="s">
        <v>26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12" customHeight="1"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</row>
    <row r="8" spans="2:13" ht="23">
      <c r="B8" s="9" t="s">
        <v>31</v>
      </c>
    </row>
    <row r="9" spans="2:13" ht="23">
      <c r="B9" s="9" t="s">
        <v>32</v>
      </c>
    </row>
    <row r="11" spans="2:13">
      <c r="B11" s="22" t="s">
        <v>29</v>
      </c>
      <c r="C11" s="23"/>
    </row>
    <row r="12" spans="2:13">
      <c r="B12" s="26" t="s">
        <v>19</v>
      </c>
      <c r="C12" s="26">
        <v>9</v>
      </c>
    </row>
    <row r="13" spans="2:13">
      <c r="B13" s="26" t="s">
        <v>22</v>
      </c>
      <c r="C13" s="26">
        <v>11</v>
      </c>
    </row>
    <row r="14" spans="2:13">
      <c r="B14" s="26" t="s">
        <v>30</v>
      </c>
      <c r="C14" s="26">
        <v>20</v>
      </c>
    </row>
    <row r="18" spans="1:4" ht="32" customHeight="1">
      <c r="A18" s="18" t="s">
        <v>1</v>
      </c>
      <c r="B18" s="19" t="s">
        <v>19</v>
      </c>
      <c r="C18" s="20" t="s">
        <v>17</v>
      </c>
      <c r="D18" s="21" t="s">
        <v>18</v>
      </c>
    </row>
    <row r="19" spans="1:4">
      <c r="A19" s="27">
        <v>1</v>
      </c>
      <c r="B19" s="26" t="s">
        <v>5</v>
      </c>
      <c r="C19" s="26" t="s">
        <v>6</v>
      </c>
      <c r="D19" s="28" t="s">
        <v>14</v>
      </c>
    </row>
    <row r="20" spans="1:4">
      <c r="A20" s="27">
        <v>2</v>
      </c>
      <c r="B20" s="26" t="s">
        <v>7</v>
      </c>
      <c r="C20" s="26" t="s">
        <v>8</v>
      </c>
      <c r="D20" s="28"/>
    </row>
    <row r="21" spans="1:4">
      <c r="A21" s="27">
        <v>3</v>
      </c>
      <c r="B21" s="26" t="s">
        <v>9</v>
      </c>
      <c r="C21" s="26" t="s">
        <v>10</v>
      </c>
      <c r="D21" s="28" t="s">
        <v>16</v>
      </c>
    </row>
    <row r="22" spans="1:4">
      <c r="A22" s="29">
        <v>4</v>
      </c>
      <c r="B22" s="30" t="s">
        <v>11</v>
      </c>
      <c r="C22" s="30" t="s">
        <v>12</v>
      </c>
      <c r="D22" s="31"/>
    </row>
    <row r="25" spans="1:4" ht="32" customHeight="1">
      <c r="A25" s="18" t="s">
        <v>1</v>
      </c>
      <c r="B25" s="19" t="s">
        <v>19</v>
      </c>
      <c r="C25" s="20" t="s">
        <v>67</v>
      </c>
      <c r="D25" s="21" t="s">
        <v>18</v>
      </c>
    </row>
    <row r="26" spans="1:4">
      <c r="A26" s="27">
        <v>1</v>
      </c>
      <c r="B26" s="26" t="s">
        <v>5</v>
      </c>
      <c r="C26" s="26" t="s">
        <v>6</v>
      </c>
      <c r="D26" s="28" t="s">
        <v>15</v>
      </c>
    </row>
    <row r="27" spans="1:4">
      <c r="A27" s="27">
        <v>2</v>
      </c>
      <c r="B27" s="26" t="s">
        <v>7</v>
      </c>
      <c r="C27" s="26" t="s">
        <v>8</v>
      </c>
      <c r="D27" s="28"/>
    </row>
    <row r="28" spans="1:4">
      <c r="A28" s="27">
        <v>3</v>
      </c>
      <c r="B28" s="26" t="s">
        <v>9</v>
      </c>
      <c r="C28" s="26" t="s">
        <v>10</v>
      </c>
      <c r="D28" s="28"/>
    </row>
    <row r="29" spans="1:4">
      <c r="A29" s="29">
        <v>4</v>
      </c>
      <c r="B29" s="30" t="s">
        <v>11</v>
      </c>
      <c r="C29" s="30" t="s">
        <v>12</v>
      </c>
      <c r="D29" s="31"/>
    </row>
    <row r="32" spans="1:4" ht="32" customHeight="1">
      <c r="A32" s="18" t="s">
        <v>1</v>
      </c>
      <c r="B32" s="19" t="s">
        <v>19</v>
      </c>
      <c r="C32" s="20" t="s">
        <v>20</v>
      </c>
      <c r="D32" s="21" t="s">
        <v>18</v>
      </c>
    </row>
    <row r="33" spans="1:4">
      <c r="A33" s="27">
        <v>1</v>
      </c>
      <c r="B33" s="26" t="s">
        <v>5</v>
      </c>
      <c r="C33" s="26" t="s">
        <v>6</v>
      </c>
      <c r="D33" s="28"/>
    </row>
    <row r="34" spans="1:4">
      <c r="A34" s="27">
        <v>2</v>
      </c>
      <c r="B34" s="26" t="s">
        <v>7</v>
      </c>
      <c r="C34" s="26" t="s">
        <v>8</v>
      </c>
      <c r="D34" s="28"/>
    </row>
    <row r="35" spans="1:4">
      <c r="A35" s="27">
        <v>3</v>
      </c>
      <c r="B35" s="26" t="s">
        <v>9</v>
      </c>
      <c r="C35" s="26" t="s">
        <v>10</v>
      </c>
      <c r="D35" s="28"/>
    </row>
    <row r="36" spans="1:4">
      <c r="A36" s="29">
        <v>4</v>
      </c>
      <c r="B36" s="30" t="s">
        <v>11</v>
      </c>
      <c r="C36" s="30" t="s">
        <v>12</v>
      </c>
      <c r="D36" s="31"/>
    </row>
    <row r="39" spans="1:4" ht="32" customHeight="1">
      <c r="A39" s="18" t="s">
        <v>1</v>
      </c>
      <c r="B39" s="19" t="s">
        <v>19</v>
      </c>
      <c r="C39" s="20" t="s">
        <v>21</v>
      </c>
      <c r="D39" s="21" t="s">
        <v>18</v>
      </c>
    </row>
    <row r="40" spans="1:4">
      <c r="A40" s="27">
        <v>1</v>
      </c>
      <c r="B40" s="26" t="s">
        <v>5</v>
      </c>
      <c r="C40" s="26" t="s">
        <v>6</v>
      </c>
      <c r="D40" s="28"/>
    </row>
    <row r="41" spans="1:4">
      <c r="A41" s="27">
        <v>2</v>
      </c>
      <c r="B41" s="26" t="s">
        <v>7</v>
      </c>
      <c r="C41" s="26" t="s">
        <v>8</v>
      </c>
      <c r="D41" s="28"/>
    </row>
    <row r="42" spans="1:4">
      <c r="A42" s="27">
        <v>3</v>
      </c>
      <c r="B42" s="26" t="s">
        <v>9</v>
      </c>
      <c r="C42" s="26" t="s">
        <v>10</v>
      </c>
      <c r="D42" s="28"/>
    </row>
    <row r="43" spans="1:4">
      <c r="A43" s="29">
        <v>4</v>
      </c>
      <c r="B43" s="30" t="s">
        <v>11</v>
      </c>
      <c r="C43" s="30" t="s">
        <v>12</v>
      </c>
      <c r="D43" s="31"/>
    </row>
    <row r="46" spans="1:4" ht="32" customHeight="1">
      <c r="A46" s="18" t="s">
        <v>1</v>
      </c>
      <c r="B46" s="19" t="s">
        <v>22</v>
      </c>
      <c r="C46" s="20" t="s">
        <v>23</v>
      </c>
      <c r="D46" s="21" t="s">
        <v>18</v>
      </c>
    </row>
    <row r="47" spans="1:4">
      <c r="A47" s="27">
        <v>1</v>
      </c>
      <c r="B47" s="26" t="s">
        <v>5</v>
      </c>
      <c r="C47" s="26" t="s">
        <v>6</v>
      </c>
      <c r="D47" s="28"/>
    </row>
    <row r="48" spans="1:4">
      <c r="A48" s="27">
        <v>2</v>
      </c>
      <c r="B48" s="26" t="s">
        <v>7</v>
      </c>
      <c r="C48" s="26" t="s">
        <v>8</v>
      </c>
      <c r="D48" s="28"/>
    </row>
    <row r="49" spans="1:4">
      <c r="A49" s="27">
        <v>3</v>
      </c>
      <c r="B49" s="26" t="s">
        <v>9</v>
      </c>
      <c r="C49" s="26" t="s">
        <v>10</v>
      </c>
      <c r="D49" s="28"/>
    </row>
    <row r="50" spans="1:4">
      <c r="A50" s="29">
        <v>4</v>
      </c>
      <c r="B50" s="30" t="s">
        <v>11</v>
      </c>
      <c r="C50" s="30" t="s">
        <v>12</v>
      </c>
      <c r="D50" s="31"/>
    </row>
    <row r="53" spans="1:4" ht="32" customHeight="1">
      <c r="A53" s="18" t="s">
        <v>1</v>
      </c>
      <c r="B53" s="19" t="s">
        <v>22</v>
      </c>
      <c r="C53" s="20" t="s">
        <v>68</v>
      </c>
      <c r="D53" s="21" t="s">
        <v>18</v>
      </c>
    </row>
    <row r="54" spans="1:4">
      <c r="A54" s="27">
        <v>1</v>
      </c>
      <c r="B54" s="26" t="s">
        <v>5</v>
      </c>
      <c r="C54" s="26" t="s">
        <v>6</v>
      </c>
      <c r="D54" s="28"/>
    </row>
    <row r="55" spans="1:4">
      <c r="A55" s="27">
        <v>2</v>
      </c>
      <c r="B55" s="26" t="s">
        <v>7</v>
      </c>
      <c r="C55" s="26" t="s">
        <v>8</v>
      </c>
      <c r="D55" s="28"/>
    </row>
    <row r="56" spans="1:4">
      <c r="A56" s="27">
        <v>3</v>
      </c>
      <c r="B56" s="26" t="s">
        <v>9</v>
      </c>
      <c r="C56" s="26" t="s">
        <v>10</v>
      </c>
      <c r="D56" s="28"/>
    </row>
    <row r="57" spans="1:4">
      <c r="A57" s="29">
        <v>4</v>
      </c>
      <c r="B57" s="30" t="s">
        <v>11</v>
      </c>
      <c r="C57" s="30" t="s">
        <v>12</v>
      </c>
      <c r="D57" s="31"/>
    </row>
    <row r="60" spans="1:4" ht="32" customHeight="1">
      <c r="A60" s="18" t="s">
        <v>1</v>
      </c>
      <c r="B60" s="19" t="s">
        <v>19</v>
      </c>
      <c r="C60" s="20" t="s">
        <v>69</v>
      </c>
      <c r="D60" s="21" t="s">
        <v>18</v>
      </c>
    </row>
    <row r="61" spans="1:4">
      <c r="A61" s="27">
        <v>1</v>
      </c>
      <c r="B61" s="26" t="s">
        <v>5</v>
      </c>
      <c r="C61" s="26" t="s">
        <v>6</v>
      </c>
      <c r="D61" s="28"/>
    </row>
    <row r="62" spans="1:4">
      <c r="A62" s="27">
        <v>2</v>
      </c>
      <c r="B62" s="26" t="s">
        <v>7</v>
      </c>
      <c r="C62" s="26" t="s">
        <v>8</v>
      </c>
      <c r="D62" s="28"/>
    </row>
    <row r="63" spans="1:4">
      <c r="A63" s="27">
        <v>3</v>
      </c>
      <c r="B63" s="26" t="s">
        <v>9</v>
      </c>
      <c r="C63" s="26" t="s">
        <v>10</v>
      </c>
      <c r="D63" s="28"/>
    </row>
    <row r="64" spans="1:4">
      <c r="A64" s="29">
        <v>4</v>
      </c>
      <c r="B64" s="30" t="s">
        <v>11</v>
      </c>
      <c r="C64" s="30" t="s">
        <v>12</v>
      </c>
      <c r="D64" s="31"/>
    </row>
    <row r="67" spans="1:4" ht="32" customHeight="1">
      <c r="A67" s="18" t="s">
        <v>1</v>
      </c>
      <c r="B67" s="19" t="s">
        <v>19</v>
      </c>
      <c r="C67" s="20" t="s">
        <v>70</v>
      </c>
      <c r="D67" s="21" t="s">
        <v>18</v>
      </c>
    </row>
    <row r="68" spans="1:4">
      <c r="A68" s="27">
        <v>1</v>
      </c>
      <c r="B68" s="26" t="s">
        <v>5</v>
      </c>
      <c r="C68" s="26" t="s">
        <v>6</v>
      </c>
      <c r="D68" s="28"/>
    </row>
    <row r="69" spans="1:4">
      <c r="A69" s="27">
        <v>2</v>
      </c>
      <c r="B69" s="26" t="s">
        <v>7</v>
      </c>
      <c r="C69" s="26" t="s">
        <v>8</v>
      </c>
      <c r="D69" s="28"/>
    </row>
    <row r="70" spans="1:4">
      <c r="A70" s="27">
        <v>3</v>
      </c>
      <c r="B70" s="26" t="s">
        <v>9</v>
      </c>
      <c r="C70" s="26" t="s">
        <v>10</v>
      </c>
      <c r="D70" s="28"/>
    </row>
    <row r="71" spans="1:4">
      <c r="A71" s="29">
        <v>4</v>
      </c>
      <c r="B71" s="30" t="s">
        <v>11</v>
      </c>
      <c r="C71" s="30" t="s">
        <v>12</v>
      </c>
      <c r="D71" s="31"/>
    </row>
    <row r="74" spans="1:4" ht="32" customHeight="1">
      <c r="A74" s="18" t="s">
        <v>1</v>
      </c>
      <c r="B74" s="19" t="s">
        <v>19</v>
      </c>
      <c r="C74" s="20" t="s">
        <v>71</v>
      </c>
      <c r="D74" s="21" t="s">
        <v>18</v>
      </c>
    </row>
    <row r="75" spans="1:4">
      <c r="A75" s="27">
        <v>1</v>
      </c>
      <c r="B75" s="26" t="s">
        <v>5</v>
      </c>
      <c r="C75" s="26" t="s">
        <v>6</v>
      </c>
      <c r="D75" s="28"/>
    </row>
    <row r="76" spans="1:4">
      <c r="A76" s="27">
        <v>2</v>
      </c>
      <c r="B76" s="26" t="s">
        <v>7</v>
      </c>
      <c r="C76" s="26" t="s">
        <v>8</v>
      </c>
      <c r="D76" s="28"/>
    </row>
    <row r="77" spans="1:4">
      <c r="A77" s="27">
        <v>3</v>
      </c>
      <c r="B77" s="26" t="s">
        <v>9</v>
      </c>
      <c r="C77" s="26" t="s">
        <v>10</v>
      </c>
      <c r="D77" s="28"/>
    </row>
    <row r="78" spans="1:4">
      <c r="A78" s="29">
        <v>4</v>
      </c>
      <c r="B78" s="30" t="s">
        <v>11</v>
      </c>
      <c r="C78" s="30" t="s">
        <v>12</v>
      </c>
      <c r="D78" s="31"/>
    </row>
    <row r="81" spans="1:4" ht="32" customHeight="1">
      <c r="A81" s="18" t="s">
        <v>1</v>
      </c>
      <c r="B81" s="19" t="s">
        <v>22</v>
      </c>
      <c r="C81" s="20" t="s">
        <v>72</v>
      </c>
      <c r="D81" s="21" t="s">
        <v>18</v>
      </c>
    </row>
    <row r="82" spans="1:4">
      <c r="A82" s="27">
        <v>1</v>
      </c>
      <c r="B82" s="26" t="s">
        <v>5</v>
      </c>
      <c r="C82" s="26" t="s">
        <v>6</v>
      </c>
      <c r="D82" s="28"/>
    </row>
    <row r="83" spans="1:4">
      <c r="A83" s="27">
        <v>2</v>
      </c>
      <c r="B83" s="26" t="s">
        <v>7</v>
      </c>
      <c r="C83" s="26" t="s">
        <v>8</v>
      </c>
      <c r="D83" s="28"/>
    </row>
    <row r="84" spans="1:4">
      <c r="A84" s="27">
        <v>3</v>
      </c>
      <c r="B84" s="26" t="s">
        <v>9</v>
      </c>
      <c r="C84" s="26" t="s">
        <v>10</v>
      </c>
      <c r="D84" s="28"/>
    </row>
    <row r="85" spans="1:4">
      <c r="A85" s="29">
        <v>4</v>
      </c>
      <c r="B85" s="30" t="s">
        <v>11</v>
      </c>
      <c r="C85" s="30" t="s">
        <v>12</v>
      </c>
      <c r="D85" s="31"/>
    </row>
    <row r="88" spans="1:4" ht="32" customHeight="1">
      <c r="A88" s="18" t="s">
        <v>1</v>
      </c>
      <c r="B88" s="19" t="s">
        <v>22</v>
      </c>
      <c r="C88" s="20" t="s">
        <v>73</v>
      </c>
      <c r="D88" s="21" t="s">
        <v>18</v>
      </c>
    </row>
    <row r="89" spans="1:4">
      <c r="A89" s="27">
        <v>1</v>
      </c>
      <c r="B89" s="26" t="s">
        <v>5</v>
      </c>
      <c r="C89" s="26" t="s">
        <v>6</v>
      </c>
      <c r="D89" s="28"/>
    </row>
    <row r="90" spans="1:4">
      <c r="A90" s="27">
        <v>2</v>
      </c>
      <c r="B90" s="26" t="s">
        <v>7</v>
      </c>
      <c r="C90" s="26" t="s">
        <v>8</v>
      </c>
      <c r="D90" s="28"/>
    </row>
    <row r="91" spans="1:4">
      <c r="A91" s="27">
        <v>3</v>
      </c>
      <c r="B91" s="26" t="s">
        <v>9</v>
      </c>
      <c r="C91" s="26" t="s">
        <v>10</v>
      </c>
      <c r="D91" s="28"/>
    </row>
    <row r="92" spans="1:4">
      <c r="A92" s="29">
        <v>4</v>
      </c>
      <c r="B92" s="30" t="s">
        <v>11</v>
      </c>
      <c r="C92" s="30" t="s">
        <v>12</v>
      </c>
      <c r="D92" s="31"/>
    </row>
    <row r="95" spans="1:4" ht="32" customHeight="1">
      <c r="A95" s="18" t="s">
        <v>1</v>
      </c>
      <c r="B95" s="19" t="s">
        <v>19</v>
      </c>
      <c r="C95" s="20" t="s">
        <v>74</v>
      </c>
      <c r="D95" s="21" t="s">
        <v>18</v>
      </c>
    </row>
    <row r="96" spans="1:4">
      <c r="A96" s="27">
        <v>1</v>
      </c>
      <c r="B96" s="26" t="s">
        <v>5</v>
      </c>
      <c r="C96" s="26" t="s">
        <v>6</v>
      </c>
      <c r="D96" s="28"/>
    </row>
    <row r="97" spans="1:4">
      <c r="A97" s="27">
        <v>2</v>
      </c>
      <c r="B97" s="26" t="s">
        <v>7</v>
      </c>
      <c r="C97" s="26" t="s">
        <v>8</v>
      </c>
      <c r="D97" s="28"/>
    </row>
    <row r="98" spans="1:4">
      <c r="A98" s="27">
        <v>3</v>
      </c>
      <c r="B98" s="26" t="s">
        <v>9</v>
      </c>
      <c r="C98" s="26" t="s">
        <v>10</v>
      </c>
      <c r="D98" s="28"/>
    </row>
    <row r="99" spans="1:4">
      <c r="A99" s="29">
        <v>4</v>
      </c>
      <c r="B99" s="30" t="s">
        <v>11</v>
      </c>
      <c r="C99" s="30" t="s">
        <v>12</v>
      </c>
      <c r="D99" s="31"/>
    </row>
    <row r="102" spans="1:4" ht="32" customHeight="1">
      <c r="A102" s="18" t="s">
        <v>1</v>
      </c>
      <c r="B102" s="19" t="s">
        <v>19</v>
      </c>
      <c r="C102" s="20" t="s">
        <v>75</v>
      </c>
      <c r="D102" s="21" t="s">
        <v>18</v>
      </c>
    </row>
    <row r="103" spans="1:4">
      <c r="A103" s="27">
        <v>1</v>
      </c>
      <c r="B103" s="26" t="s">
        <v>5</v>
      </c>
      <c r="C103" s="26" t="s">
        <v>6</v>
      </c>
      <c r="D103" s="28"/>
    </row>
    <row r="104" spans="1:4">
      <c r="A104" s="27">
        <v>2</v>
      </c>
      <c r="B104" s="26" t="s">
        <v>7</v>
      </c>
      <c r="C104" s="26" t="s">
        <v>8</v>
      </c>
      <c r="D104" s="28"/>
    </row>
    <row r="105" spans="1:4">
      <c r="A105" s="27">
        <v>3</v>
      </c>
      <c r="B105" s="26" t="s">
        <v>9</v>
      </c>
      <c r="C105" s="26" t="s">
        <v>10</v>
      </c>
      <c r="D105" s="28"/>
    </row>
    <row r="106" spans="1:4">
      <c r="A106" s="29">
        <v>4</v>
      </c>
      <c r="B106" s="30" t="s">
        <v>11</v>
      </c>
      <c r="C106" s="30" t="s">
        <v>12</v>
      </c>
      <c r="D106" s="31"/>
    </row>
    <row r="109" spans="1:4" ht="32" customHeight="1">
      <c r="A109" s="18" t="s">
        <v>1</v>
      </c>
      <c r="B109" s="19" t="s">
        <v>22</v>
      </c>
      <c r="C109" s="20" t="s">
        <v>76</v>
      </c>
      <c r="D109" s="21" t="s">
        <v>18</v>
      </c>
    </row>
    <row r="110" spans="1:4">
      <c r="A110" s="27">
        <v>1</v>
      </c>
      <c r="B110" s="26" t="s">
        <v>5</v>
      </c>
      <c r="C110" s="26" t="s">
        <v>6</v>
      </c>
      <c r="D110" s="28"/>
    </row>
    <row r="111" spans="1:4">
      <c r="A111" s="27">
        <v>2</v>
      </c>
      <c r="B111" s="26" t="s">
        <v>7</v>
      </c>
      <c r="C111" s="26" t="s">
        <v>8</v>
      </c>
      <c r="D111" s="28"/>
    </row>
    <row r="112" spans="1:4">
      <c r="A112" s="27">
        <v>3</v>
      </c>
      <c r="B112" s="26" t="s">
        <v>9</v>
      </c>
      <c r="C112" s="26" t="s">
        <v>10</v>
      </c>
      <c r="D112" s="28"/>
    </row>
    <row r="113" spans="1:4">
      <c r="A113" s="29">
        <v>4</v>
      </c>
      <c r="B113" s="30" t="s">
        <v>11</v>
      </c>
      <c r="C113" s="30" t="s">
        <v>12</v>
      </c>
      <c r="D113" s="31"/>
    </row>
    <row r="116" spans="1:4" ht="32" customHeight="1">
      <c r="A116" s="18" t="s">
        <v>1</v>
      </c>
      <c r="B116" s="19" t="s">
        <v>22</v>
      </c>
      <c r="C116" s="20" t="s">
        <v>77</v>
      </c>
      <c r="D116" s="21" t="s">
        <v>18</v>
      </c>
    </row>
    <row r="117" spans="1:4">
      <c r="A117" s="27">
        <v>1</v>
      </c>
      <c r="B117" s="26" t="s">
        <v>5</v>
      </c>
      <c r="C117" s="26" t="s">
        <v>6</v>
      </c>
      <c r="D117" s="28"/>
    </row>
    <row r="118" spans="1:4">
      <c r="A118" s="27">
        <v>2</v>
      </c>
      <c r="B118" s="26" t="s">
        <v>7</v>
      </c>
      <c r="C118" s="26" t="s">
        <v>8</v>
      </c>
      <c r="D118" s="28"/>
    </row>
    <row r="119" spans="1:4">
      <c r="A119" s="27">
        <v>3</v>
      </c>
      <c r="B119" s="26" t="s">
        <v>9</v>
      </c>
      <c r="C119" s="26" t="s">
        <v>10</v>
      </c>
      <c r="D119" s="28"/>
    </row>
    <row r="120" spans="1:4">
      <c r="A120" s="29">
        <v>4</v>
      </c>
      <c r="B120" s="30" t="s">
        <v>11</v>
      </c>
      <c r="C120" s="30" t="s">
        <v>12</v>
      </c>
      <c r="D120" s="31"/>
    </row>
    <row r="123" spans="1:4" ht="32" customHeight="1">
      <c r="A123" s="18" t="s">
        <v>1</v>
      </c>
      <c r="B123" s="19" t="s">
        <v>22</v>
      </c>
      <c r="C123" s="20" t="s">
        <v>78</v>
      </c>
      <c r="D123" s="21" t="s">
        <v>18</v>
      </c>
    </row>
    <row r="124" spans="1:4">
      <c r="A124" s="27">
        <v>1</v>
      </c>
      <c r="B124" s="26" t="s">
        <v>5</v>
      </c>
      <c r="C124" s="26" t="s">
        <v>6</v>
      </c>
      <c r="D124" s="28"/>
    </row>
    <row r="125" spans="1:4">
      <c r="A125" s="27">
        <v>2</v>
      </c>
      <c r="B125" s="26" t="s">
        <v>7</v>
      </c>
      <c r="C125" s="26" t="s">
        <v>8</v>
      </c>
      <c r="D125" s="28"/>
    </row>
    <row r="126" spans="1:4">
      <c r="A126" s="27">
        <v>3</v>
      </c>
      <c r="B126" s="26" t="s">
        <v>9</v>
      </c>
      <c r="C126" s="26" t="s">
        <v>10</v>
      </c>
      <c r="D126" s="28"/>
    </row>
    <row r="127" spans="1:4">
      <c r="A127" s="29">
        <v>4</v>
      </c>
      <c r="B127" s="30" t="s">
        <v>11</v>
      </c>
      <c r="C127" s="30" t="s">
        <v>12</v>
      </c>
      <c r="D127" s="31"/>
    </row>
    <row r="130" spans="1:4" ht="32" customHeight="1">
      <c r="A130" s="18" t="s">
        <v>1</v>
      </c>
      <c r="B130" s="19" t="s">
        <v>22</v>
      </c>
      <c r="C130" s="20" t="s">
        <v>79</v>
      </c>
      <c r="D130" s="21" t="s">
        <v>18</v>
      </c>
    </row>
    <row r="131" spans="1:4">
      <c r="A131" s="27">
        <v>1</v>
      </c>
      <c r="B131" s="26" t="s">
        <v>5</v>
      </c>
      <c r="C131" s="26" t="s">
        <v>6</v>
      </c>
      <c r="D131" s="28"/>
    </row>
    <row r="132" spans="1:4">
      <c r="A132" s="27">
        <v>2</v>
      </c>
      <c r="B132" s="26" t="s">
        <v>7</v>
      </c>
      <c r="C132" s="26" t="s">
        <v>8</v>
      </c>
      <c r="D132" s="28"/>
    </row>
    <row r="133" spans="1:4">
      <c r="A133" s="27">
        <v>3</v>
      </c>
      <c r="B133" s="26" t="s">
        <v>9</v>
      </c>
      <c r="C133" s="26" t="s">
        <v>10</v>
      </c>
      <c r="D133" s="28"/>
    </row>
    <row r="134" spans="1:4">
      <c r="A134" s="29">
        <v>4</v>
      </c>
      <c r="B134" s="30" t="s">
        <v>11</v>
      </c>
      <c r="C134" s="30" t="s">
        <v>12</v>
      </c>
      <c r="D134" s="31"/>
    </row>
    <row r="137" spans="1:4" ht="32" customHeight="1">
      <c r="A137" s="18" t="s">
        <v>1</v>
      </c>
      <c r="B137" s="19" t="s">
        <v>22</v>
      </c>
      <c r="C137" s="20" t="s">
        <v>80</v>
      </c>
      <c r="D137" s="21" t="s">
        <v>18</v>
      </c>
    </row>
    <row r="138" spans="1:4">
      <c r="A138" s="27">
        <v>1</v>
      </c>
      <c r="B138" s="26" t="s">
        <v>5</v>
      </c>
      <c r="C138" s="26" t="s">
        <v>6</v>
      </c>
      <c r="D138" s="28"/>
    </row>
    <row r="139" spans="1:4">
      <c r="A139" s="27">
        <v>2</v>
      </c>
      <c r="B139" s="26" t="s">
        <v>7</v>
      </c>
      <c r="C139" s="26" t="s">
        <v>8</v>
      </c>
      <c r="D139" s="28"/>
    </row>
    <row r="140" spans="1:4">
      <c r="A140" s="27">
        <v>3</v>
      </c>
      <c r="B140" s="26" t="s">
        <v>9</v>
      </c>
      <c r="C140" s="26" t="s">
        <v>10</v>
      </c>
      <c r="D140" s="28"/>
    </row>
    <row r="141" spans="1:4">
      <c r="A141" s="29">
        <v>4</v>
      </c>
      <c r="B141" s="30" t="s">
        <v>11</v>
      </c>
      <c r="C141" s="30" t="s">
        <v>12</v>
      </c>
      <c r="D141" s="31"/>
    </row>
    <row r="144" spans="1:4" ht="32" customHeight="1">
      <c r="A144" s="18" t="s">
        <v>1</v>
      </c>
      <c r="B144" s="19" t="s">
        <v>22</v>
      </c>
      <c r="C144" s="20" t="s">
        <v>81</v>
      </c>
      <c r="D144" s="21" t="s">
        <v>18</v>
      </c>
    </row>
    <row r="145" spans="1:4">
      <c r="A145" s="27">
        <v>1</v>
      </c>
      <c r="B145" s="26" t="s">
        <v>5</v>
      </c>
      <c r="C145" s="26" t="s">
        <v>6</v>
      </c>
      <c r="D145" s="28"/>
    </row>
    <row r="146" spans="1:4">
      <c r="A146" s="27">
        <v>2</v>
      </c>
      <c r="B146" s="26" t="s">
        <v>7</v>
      </c>
      <c r="C146" s="26" t="s">
        <v>8</v>
      </c>
      <c r="D146" s="28"/>
    </row>
    <row r="147" spans="1:4">
      <c r="A147" s="27">
        <v>3</v>
      </c>
      <c r="B147" s="26" t="s">
        <v>9</v>
      </c>
      <c r="C147" s="26" t="s">
        <v>10</v>
      </c>
      <c r="D147" s="28"/>
    </row>
    <row r="148" spans="1:4">
      <c r="A148" s="29">
        <v>4</v>
      </c>
      <c r="B148" s="30" t="s">
        <v>11</v>
      </c>
      <c r="C148" s="30" t="s">
        <v>12</v>
      </c>
      <c r="D148" s="31"/>
    </row>
    <row r="151" spans="1:4" ht="32" customHeight="1">
      <c r="A151" s="18" t="s">
        <v>1</v>
      </c>
      <c r="B151" s="19" t="s">
        <v>22</v>
      </c>
      <c r="C151" s="20" t="s">
        <v>82</v>
      </c>
      <c r="D151" s="21" t="s">
        <v>18</v>
      </c>
    </row>
    <row r="152" spans="1:4">
      <c r="A152" s="27">
        <v>1</v>
      </c>
      <c r="B152" s="26" t="s">
        <v>5</v>
      </c>
      <c r="C152" s="26" t="s">
        <v>6</v>
      </c>
      <c r="D152" s="28"/>
    </row>
    <row r="153" spans="1:4">
      <c r="A153" s="27">
        <v>2</v>
      </c>
      <c r="B153" s="26" t="s">
        <v>7</v>
      </c>
      <c r="C153" s="26" t="s">
        <v>8</v>
      </c>
      <c r="D153" s="28"/>
    </row>
    <row r="154" spans="1:4">
      <c r="A154" s="27">
        <v>3</v>
      </c>
      <c r="B154" s="26" t="s">
        <v>9</v>
      </c>
      <c r="C154" s="26" t="s">
        <v>10</v>
      </c>
      <c r="D154" s="28"/>
    </row>
    <row r="155" spans="1:4">
      <c r="A155" s="29">
        <v>4</v>
      </c>
      <c r="B155" s="30" t="s">
        <v>11</v>
      </c>
      <c r="C155" s="30" t="s">
        <v>12</v>
      </c>
      <c r="D155" s="31"/>
    </row>
  </sheetData>
  <mergeCells count="1">
    <mergeCell ref="B11:C11"/>
  </mergeCells>
  <conditionalFormatting sqref="D1:D1048576">
    <cfRule type="containsText" dxfId="15" priority="1" stopIfTrue="1" operator="containsText" text="falla">
      <formula>NOT(ISERROR(SEARCH("falla",D1)))</formula>
    </cfRule>
    <cfRule type="containsText" dxfId="14" priority="2" stopIfTrue="1" operator="containsText" text="pasa">
      <formula>NOT(ISERROR(SEARCH("pasa",D1)))</formula>
    </cfRule>
    <cfRule type="containsText" dxfId="13" priority="3" stopIfTrue="1" operator="containsText" text="n/a">
      <formula>NOT(ISERROR(SEARCH("n/a",D1)))</formula>
    </cfRule>
  </conditionalFormatting>
  <pageMargins left="0.7" right="0.7" top="0.75" bottom="0.75" header="0.3" footer="0.3"/>
  <tableParts count="2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9390A1-3ACC-458F-B92E-F4648DC4623A}">
          <x14:formula1>
            <xm:f>Datos!$A$2:$A$5</xm:f>
          </x14:formula1>
          <xm:sqref>D19:D22 D26:D29 D33:D36 D40:D43 D47:D50 D54:D57 D61:D64 D68:D71 D75:D78 D82:D85 D89:D92 D96:D99 D103:D106 D110:D113 D117:D120 D124:D127 D131:D134 D138:D141 D145:D148 D152:D155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D2BC5-0231-447F-8498-D7E3ABB23D35}">
  <sheetPr codeName="Hoja219"/>
  <dimension ref="A2:M134"/>
  <sheetViews>
    <sheetView workbookViewId="0"/>
  </sheetViews>
  <sheetFormatPr baseColWidth="10" defaultRowHeight="16"/>
  <cols>
    <col min="1" max="1" width="6.58203125" style="1" customWidth="1"/>
    <col min="2" max="2" width="16.1640625" customWidth="1"/>
    <col min="3" max="3" width="56.58203125" customWidth="1"/>
    <col min="4" max="4" width="11.1640625" customWidth="1"/>
  </cols>
  <sheetData>
    <row r="2" spans="2:13" ht="29.5">
      <c r="B2" s="4" t="s">
        <v>24</v>
      </c>
    </row>
    <row r="3" spans="2:13" ht="25">
      <c r="B3" s="5" t="s">
        <v>25</v>
      </c>
    </row>
    <row r="4" spans="2:13" ht="26" customHeight="1"/>
    <row r="5" spans="2:13" ht="22.5">
      <c r="B5" s="7" t="s">
        <v>26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12" customHeight="1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8" spans="2:13" ht="23">
      <c r="B8" s="9" t="s">
        <v>33</v>
      </c>
    </row>
    <row r="9" spans="2:13" ht="23">
      <c r="B9" s="9" t="s">
        <v>34</v>
      </c>
    </row>
    <row r="11" spans="2:13">
      <c r="B11" s="22" t="s">
        <v>29</v>
      </c>
      <c r="C11" s="23"/>
    </row>
    <row r="12" spans="2:13">
      <c r="B12" s="26" t="s">
        <v>19</v>
      </c>
      <c r="C12" s="26">
        <v>14</v>
      </c>
    </row>
    <row r="13" spans="2:13">
      <c r="B13" s="26" t="s">
        <v>22</v>
      </c>
      <c r="C13" s="26">
        <v>3</v>
      </c>
    </row>
    <row r="14" spans="2:13">
      <c r="B14" s="26" t="s">
        <v>30</v>
      </c>
      <c r="C14" s="26">
        <v>17</v>
      </c>
    </row>
    <row r="18" spans="1:4" ht="32" customHeight="1">
      <c r="A18" s="18" t="s">
        <v>1</v>
      </c>
      <c r="B18" s="19" t="s">
        <v>19</v>
      </c>
      <c r="C18" s="20" t="s">
        <v>50</v>
      </c>
      <c r="D18" s="21" t="s">
        <v>18</v>
      </c>
    </row>
    <row r="19" spans="1:4">
      <c r="A19" s="27">
        <v>1</v>
      </c>
      <c r="B19" s="26" t="s">
        <v>5</v>
      </c>
      <c r="C19" s="26" t="s">
        <v>6</v>
      </c>
      <c r="D19" s="28"/>
    </row>
    <row r="20" spans="1:4">
      <c r="A20" s="27">
        <v>2</v>
      </c>
      <c r="B20" s="26" t="s">
        <v>7</v>
      </c>
      <c r="C20" s="26" t="s">
        <v>8</v>
      </c>
      <c r="D20" s="28"/>
    </row>
    <row r="21" spans="1:4">
      <c r="A21" s="27">
        <v>3</v>
      </c>
      <c r="B21" s="26" t="s">
        <v>9</v>
      </c>
      <c r="C21" s="26" t="s">
        <v>10</v>
      </c>
      <c r="D21" s="28"/>
    </row>
    <row r="22" spans="1:4">
      <c r="A22" s="29">
        <v>4</v>
      </c>
      <c r="B22" s="30" t="s">
        <v>11</v>
      </c>
      <c r="C22" s="30" t="s">
        <v>12</v>
      </c>
      <c r="D22" s="31"/>
    </row>
    <row r="25" spans="1:4" ht="32" customHeight="1">
      <c r="A25" s="18" t="s">
        <v>1</v>
      </c>
      <c r="B25" s="19" t="s">
        <v>19</v>
      </c>
      <c r="C25" s="20" t="s">
        <v>51</v>
      </c>
      <c r="D25" s="21" t="s">
        <v>18</v>
      </c>
    </row>
    <row r="26" spans="1:4">
      <c r="A26" s="27">
        <v>1</v>
      </c>
      <c r="B26" s="26" t="s">
        <v>5</v>
      </c>
      <c r="C26" s="26" t="s">
        <v>6</v>
      </c>
      <c r="D26" s="28"/>
    </row>
    <row r="27" spans="1:4">
      <c r="A27" s="27">
        <v>2</v>
      </c>
      <c r="B27" s="26" t="s">
        <v>7</v>
      </c>
      <c r="C27" s="26" t="s">
        <v>8</v>
      </c>
      <c r="D27" s="28"/>
    </row>
    <row r="28" spans="1:4">
      <c r="A28" s="27">
        <v>3</v>
      </c>
      <c r="B28" s="26" t="s">
        <v>9</v>
      </c>
      <c r="C28" s="26" t="s">
        <v>10</v>
      </c>
      <c r="D28" s="28"/>
    </row>
    <row r="29" spans="1:4">
      <c r="A29" s="29">
        <v>4</v>
      </c>
      <c r="B29" s="30" t="s">
        <v>11</v>
      </c>
      <c r="C29" s="30" t="s">
        <v>12</v>
      </c>
      <c r="D29" s="31"/>
    </row>
    <row r="32" spans="1:4" ht="32" customHeight="1">
      <c r="A32" s="18" t="s">
        <v>1</v>
      </c>
      <c r="B32" s="19" t="s">
        <v>19</v>
      </c>
      <c r="C32" s="20" t="s">
        <v>52</v>
      </c>
      <c r="D32" s="21" t="s">
        <v>18</v>
      </c>
    </row>
    <row r="33" spans="1:4">
      <c r="A33" s="27">
        <v>1</v>
      </c>
      <c r="B33" s="26" t="s">
        <v>5</v>
      </c>
      <c r="C33" s="26" t="s">
        <v>6</v>
      </c>
      <c r="D33" s="28"/>
    </row>
    <row r="34" spans="1:4">
      <c r="A34" s="27">
        <v>2</v>
      </c>
      <c r="B34" s="26" t="s">
        <v>7</v>
      </c>
      <c r="C34" s="26" t="s">
        <v>8</v>
      </c>
      <c r="D34" s="28"/>
    </row>
    <row r="35" spans="1:4">
      <c r="A35" s="27">
        <v>3</v>
      </c>
      <c r="B35" s="26" t="s">
        <v>9</v>
      </c>
      <c r="C35" s="26" t="s">
        <v>10</v>
      </c>
      <c r="D35" s="28"/>
    </row>
    <row r="36" spans="1:4">
      <c r="A36" s="29">
        <v>4</v>
      </c>
      <c r="B36" s="30" t="s">
        <v>11</v>
      </c>
      <c r="C36" s="30" t="s">
        <v>12</v>
      </c>
      <c r="D36" s="31"/>
    </row>
    <row r="39" spans="1:4" ht="32" customHeight="1">
      <c r="A39" s="18" t="s">
        <v>1</v>
      </c>
      <c r="B39" s="19" t="s">
        <v>19</v>
      </c>
      <c r="C39" s="20" t="s">
        <v>53</v>
      </c>
      <c r="D39" s="21" t="s">
        <v>18</v>
      </c>
    </row>
    <row r="40" spans="1:4">
      <c r="A40" s="27">
        <v>1</v>
      </c>
      <c r="B40" s="26" t="s">
        <v>5</v>
      </c>
      <c r="C40" s="26" t="s">
        <v>6</v>
      </c>
      <c r="D40" s="28"/>
    </row>
    <row r="41" spans="1:4">
      <c r="A41" s="27">
        <v>2</v>
      </c>
      <c r="B41" s="26" t="s">
        <v>7</v>
      </c>
      <c r="C41" s="26" t="s">
        <v>8</v>
      </c>
      <c r="D41" s="28"/>
    </row>
    <row r="42" spans="1:4">
      <c r="A42" s="27">
        <v>3</v>
      </c>
      <c r="B42" s="26" t="s">
        <v>9</v>
      </c>
      <c r="C42" s="26" t="s">
        <v>10</v>
      </c>
      <c r="D42" s="28"/>
    </row>
    <row r="43" spans="1:4">
      <c r="A43" s="29">
        <v>4</v>
      </c>
      <c r="B43" s="30" t="s">
        <v>11</v>
      </c>
      <c r="C43" s="30" t="s">
        <v>12</v>
      </c>
      <c r="D43" s="31"/>
    </row>
    <row r="46" spans="1:4" ht="32" customHeight="1">
      <c r="A46" s="18" t="s">
        <v>1</v>
      </c>
      <c r="B46" s="19" t="s">
        <v>19</v>
      </c>
      <c r="C46" s="20" t="s">
        <v>54</v>
      </c>
      <c r="D46" s="21" t="s">
        <v>18</v>
      </c>
    </row>
    <row r="47" spans="1:4">
      <c r="A47" s="27">
        <v>1</v>
      </c>
      <c r="B47" s="26" t="s">
        <v>5</v>
      </c>
      <c r="C47" s="26" t="s">
        <v>6</v>
      </c>
      <c r="D47" s="28"/>
    </row>
    <row r="48" spans="1:4">
      <c r="A48" s="27">
        <v>2</v>
      </c>
      <c r="B48" s="26" t="s">
        <v>7</v>
      </c>
      <c r="C48" s="26" t="s">
        <v>8</v>
      </c>
      <c r="D48" s="28"/>
    </row>
    <row r="49" spans="1:4">
      <c r="A49" s="27">
        <v>3</v>
      </c>
      <c r="B49" s="26" t="s">
        <v>9</v>
      </c>
      <c r="C49" s="26" t="s">
        <v>10</v>
      </c>
      <c r="D49" s="28"/>
    </row>
    <row r="50" spans="1:4">
      <c r="A50" s="29">
        <v>4</v>
      </c>
      <c r="B50" s="30" t="s">
        <v>11</v>
      </c>
      <c r="C50" s="30" t="s">
        <v>12</v>
      </c>
      <c r="D50" s="31"/>
    </row>
    <row r="53" spans="1:4" ht="32" customHeight="1">
      <c r="A53" s="18" t="s">
        <v>1</v>
      </c>
      <c r="B53" s="19" t="s">
        <v>19</v>
      </c>
      <c r="C53" s="20" t="s">
        <v>55</v>
      </c>
      <c r="D53" s="21" t="s">
        <v>18</v>
      </c>
    </row>
    <row r="54" spans="1:4">
      <c r="A54" s="27">
        <v>1</v>
      </c>
      <c r="B54" s="26" t="s">
        <v>5</v>
      </c>
      <c r="C54" s="26" t="s">
        <v>6</v>
      </c>
      <c r="D54" s="28"/>
    </row>
    <row r="55" spans="1:4">
      <c r="A55" s="27">
        <v>2</v>
      </c>
      <c r="B55" s="26" t="s">
        <v>7</v>
      </c>
      <c r="C55" s="26" t="s">
        <v>8</v>
      </c>
      <c r="D55" s="28"/>
    </row>
    <row r="56" spans="1:4">
      <c r="A56" s="27">
        <v>3</v>
      </c>
      <c r="B56" s="26" t="s">
        <v>9</v>
      </c>
      <c r="C56" s="26" t="s">
        <v>10</v>
      </c>
      <c r="D56" s="28"/>
    </row>
    <row r="57" spans="1:4">
      <c r="A57" s="29">
        <v>4</v>
      </c>
      <c r="B57" s="30" t="s">
        <v>11</v>
      </c>
      <c r="C57" s="30" t="s">
        <v>12</v>
      </c>
      <c r="D57" s="31"/>
    </row>
    <row r="60" spans="1:4" ht="32" customHeight="1">
      <c r="A60" s="18" t="s">
        <v>1</v>
      </c>
      <c r="B60" s="19" t="s">
        <v>19</v>
      </c>
      <c r="C60" s="20" t="s">
        <v>56</v>
      </c>
      <c r="D60" s="21" t="s">
        <v>18</v>
      </c>
    </row>
    <row r="61" spans="1:4">
      <c r="A61" s="27">
        <v>1</v>
      </c>
      <c r="B61" s="26" t="s">
        <v>5</v>
      </c>
      <c r="C61" s="26" t="s">
        <v>6</v>
      </c>
      <c r="D61" s="28"/>
    </row>
    <row r="62" spans="1:4">
      <c r="A62" s="27">
        <v>2</v>
      </c>
      <c r="B62" s="26" t="s">
        <v>7</v>
      </c>
      <c r="C62" s="26" t="s">
        <v>8</v>
      </c>
      <c r="D62" s="28"/>
    </row>
    <row r="63" spans="1:4">
      <c r="A63" s="27">
        <v>3</v>
      </c>
      <c r="B63" s="26" t="s">
        <v>9</v>
      </c>
      <c r="C63" s="26" t="s">
        <v>10</v>
      </c>
      <c r="D63" s="28"/>
    </row>
    <row r="64" spans="1:4">
      <c r="A64" s="29">
        <v>4</v>
      </c>
      <c r="B64" s="30" t="s">
        <v>11</v>
      </c>
      <c r="C64" s="30" t="s">
        <v>12</v>
      </c>
      <c r="D64" s="31"/>
    </row>
    <row r="67" spans="1:4" ht="32" customHeight="1">
      <c r="A67" s="18" t="s">
        <v>1</v>
      </c>
      <c r="B67" s="19" t="s">
        <v>19</v>
      </c>
      <c r="C67" s="20" t="s">
        <v>57</v>
      </c>
      <c r="D67" s="21" t="s">
        <v>18</v>
      </c>
    </row>
    <row r="68" spans="1:4">
      <c r="A68" s="27">
        <v>1</v>
      </c>
      <c r="B68" s="26" t="s">
        <v>5</v>
      </c>
      <c r="C68" s="26" t="s">
        <v>6</v>
      </c>
      <c r="D68" s="28"/>
    </row>
    <row r="69" spans="1:4">
      <c r="A69" s="27">
        <v>2</v>
      </c>
      <c r="B69" s="26" t="s">
        <v>7</v>
      </c>
      <c r="C69" s="26" t="s">
        <v>8</v>
      </c>
      <c r="D69" s="28"/>
    </row>
    <row r="70" spans="1:4">
      <c r="A70" s="27">
        <v>3</v>
      </c>
      <c r="B70" s="26" t="s">
        <v>9</v>
      </c>
      <c r="C70" s="26" t="s">
        <v>10</v>
      </c>
      <c r="D70" s="28"/>
    </row>
    <row r="71" spans="1:4">
      <c r="A71" s="29">
        <v>4</v>
      </c>
      <c r="B71" s="30" t="s">
        <v>11</v>
      </c>
      <c r="C71" s="30" t="s">
        <v>12</v>
      </c>
      <c r="D71" s="31"/>
    </row>
    <row r="74" spans="1:4" ht="32" customHeight="1">
      <c r="A74" s="18" t="s">
        <v>1</v>
      </c>
      <c r="B74" s="19" t="s">
        <v>19</v>
      </c>
      <c r="C74" s="20" t="s">
        <v>58</v>
      </c>
      <c r="D74" s="21" t="s">
        <v>18</v>
      </c>
    </row>
    <row r="75" spans="1:4">
      <c r="A75" s="27">
        <v>1</v>
      </c>
      <c r="B75" s="26" t="s">
        <v>5</v>
      </c>
      <c r="C75" s="26" t="s">
        <v>6</v>
      </c>
      <c r="D75" s="28"/>
    </row>
    <row r="76" spans="1:4">
      <c r="A76" s="27">
        <v>2</v>
      </c>
      <c r="B76" s="26" t="s">
        <v>7</v>
      </c>
      <c r="C76" s="26" t="s">
        <v>8</v>
      </c>
      <c r="D76" s="28"/>
    </row>
    <row r="77" spans="1:4">
      <c r="A77" s="27">
        <v>3</v>
      </c>
      <c r="B77" s="26" t="s">
        <v>9</v>
      </c>
      <c r="C77" s="26" t="s">
        <v>10</v>
      </c>
      <c r="D77" s="28"/>
    </row>
    <row r="78" spans="1:4">
      <c r="A78" s="29">
        <v>4</v>
      </c>
      <c r="B78" s="30" t="s">
        <v>11</v>
      </c>
      <c r="C78" s="30" t="s">
        <v>12</v>
      </c>
      <c r="D78" s="31"/>
    </row>
    <row r="81" spans="1:4" ht="32" customHeight="1">
      <c r="A81" s="18" t="s">
        <v>1</v>
      </c>
      <c r="B81" s="19" t="s">
        <v>19</v>
      </c>
      <c r="C81" s="20" t="s">
        <v>59</v>
      </c>
      <c r="D81" s="21" t="s">
        <v>18</v>
      </c>
    </row>
    <row r="82" spans="1:4">
      <c r="A82" s="27">
        <v>1</v>
      </c>
      <c r="B82" s="26" t="s">
        <v>5</v>
      </c>
      <c r="C82" s="26" t="s">
        <v>6</v>
      </c>
      <c r="D82" s="28"/>
    </row>
    <row r="83" spans="1:4">
      <c r="A83" s="27">
        <v>2</v>
      </c>
      <c r="B83" s="26" t="s">
        <v>7</v>
      </c>
      <c r="C83" s="26" t="s">
        <v>8</v>
      </c>
      <c r="D83" s="28"/>
    </row>
    <row r="84" spans="1:4">
      <c r="A84" s="27">
        <v>3</v>
      </c>
      <c r="B84" s="26" t="s">
        <v>9</v>
      </c>
      <c r="C84" s="26" t="s">
        <v>10</v>
      </c>
      <c r="D84" s="28"/>
    </row>
    <row r="85" spans="1:4">
      <c r="A85" s="29">
        <v>4</v>
      </c>
      <c r="B85" s="30" t="s">
        <v>11</v>
      </c>
      <c r="C85" s="30" t="s">
        <v>12</v>
      </c>
      <c r="D85" s="31"/>
    </row>
    <row r="88" spans="1:4" ht="32" customHeight="1">
      <c r="A88" s="18" t="s">
        <v>1</v>
      </c>
      <c r="B88" s="19" t="s">
        <v>22</v>
      </c>
      <c r="C88" s="20" t="s">
        <v>60</v>
      </c>
      <c r="D88" s="21" t="s">
        <v>18</v>
      </c>
    </row>
    <row r="89" spans="1:4">
      <c r="A89" s="27">
        <v>1</v>
      </c>
      <c r="B89" s="26" t="s">
        <v>5</v>
      </c>
      <c r="C89" s="26" t="s">
        <v>6</v>
      </c>
      <c r="D89" s="28"/>
    </row>
    <row r="90" spans="1:4">
      <c r="A90" s="27">
        <v>2</v>
      </c>
      <c r="B90" s="26" t="s">
        <v>7</v>
      </c>
      <c r="C90" s="26" t="s">
        <v>8</v>
      </c>
      <c r="D90" s="28"/>
    </row>
    <row r="91" spans="1:4">
      <c r="A91" s="27">
        <v>3</v>
      </c>
      <c r="B91" s="26" t="s">
        <v>9</v>
      </c>
      <c r="C91" s="26" t="s">
        <v>10</v>
      </c>
      <c r="D91" s="28"/>
    </row>
    <row r="92" spans="1:4">
      <c r="A92" s="29">
        <v>4</v>
      </c>
      <c r="B92" s="30" t="s">
        <v>11</v>
      </c>
      <c r="C92" s="30" t="s">
        <v>12</v>
      </c>
      <c r="D92" s="31"/>
    </row>
    <row r="95" spans="1:4" ht="32" customHeight="1">
      <c r="A95" s="18" t="s">
        <v>1</v>
      </c>
      <c r="B95" s="19" t="s">
        <v>22</v>
      </c>
      <c r="C95" s="20" t="s">
        <v>61</v>
      </c>
      <c r="D95" s="21" t="s">
        <v>18</v>
      </c>
    </row>
    <row r="96" spans="1:4">
      <c r="A96" s="27">
        <v>1</v>
      </c>
      <c r="B96" s="26" t="s">
        <v>5</v>
      </c>
      <c r="C96" s="26" t="s">
        <v>6</v>
      </c>
      <c r="D96" s="28"/>
    </row>
    <row r="97" spans="1:4">
      <c r="A97" s="27">
        <v>2</v>
      </c>
      <c r="B97" s="26" t="s">
        <v>7</v>
      </c>
      <c r="C97" s="26" t="s">
        <v>8</v>
      </c>
      <c r="D97" s="28"/>
    </row>
    <row r="98" spans="1:4">
      <c r="A98" s="27">
        <v>3</v>
      </c>
      <c r="B98" s="26" t="s">
        <v>9</v>
      </c>
      <c r="C98" s="26" t="s">
        <v>10</v>
      </c>
      <c r="D98" s="28"/>
    </row>
    <row r="99" spans="1:4">
      <c r="A99" s="29">
        <v>4</v>
      </c>
      <c r="B99" s="30" t="s">
        <v>11</v>
      </c>
      <c r="C99" s="30" t="s">
        <v>12</v>
      </c>
      <c r="D99" s="31"/>
    </row>
    <row r="102" spans="1:4" ht="32" customHeight="1">
      <c r="A102" s="18" t="s">
        <v>1</v>
      </c>
      <c r="B102" s="19" t="s">
        <v>22</v>
      </c>
      <c r="C102" s="20" t="s">
        <v>62</v>
      </c>
      <c r="D102" s="21" t="s">
        <v>18</v>
      </c>
    </row>
    <row r="103" spans="1:4">
      <c r="A103" s="27">
        <v>1</v>
      </c>
      <c r="B103" s="26" t="s">
        <v>5</v>
      </c>
      <c r="C103" s="26" t="s">
        <v>6</v>
      </c>
      <c r="D103" s="28"/>
    </row>
    <row r="104" spans="1:4">
      <c r="A104" s="27">
        <v>2</v>
      </c>
      <c r="B104" s="26" t="s">
        <v>7</v>
      </c>
      <c r="C104" s="26" t="s">
        <v>8</v>
      </c>
      <c r="D104" s="28"/>
    </row>
    <row r="105" spans="1:4">
      <c r="A105" s="27">
        <v>3</v>
      </c>
      <c r="B105" s="26" t="s">
        <v>9</v>
      </c>
      <c r="C105" s="26" t="s">
        <v>10</v>
      </c>
      <c r="D105" s="28"/>
    </row>
    <row r="106" spans="1:4">
      <c r="A106" s="29">
        <v>4</v>
      </c>
      <c r="B106" s="30" t="s">
        <v>11</v>
      </c>
      <c r="C106" s="30" t="s">
        <v>12</v>
      </c>
      <c r="D106" s="31"/>
    </row>
    <row r="109" spans="1:4" ht="32" customHeight="1">
      <c r="A109" s="18" t="s">
        <v>1</v>
      </c>
      <c r="B109" s="19" t="s">
        <v>19</v>
      </c>
      <c r="C109" s="20" t="s">
        <v>63</v>
      </c>
      <c r="D109" s="21" t="s">
        <v>18</v>
      </c>
    </row>
    <row r="110" spans="1:4">
      <c r="A110" s="27">
        <v>1</v>
      </c>
      <c r="B110" s="26" t="s">
        <v>5</v>
      </c>
      <c r="C110" s="26" t="s">
        <v>6</v>
      </c>
      <c r="D110" s="28"/>
    </row>
    <row r="111" spans="1:4">
      <c r="A111" s="27">
        <v>2</v>
      </c>
      <c r="B111" s="26" t="s">
        <v>7</v>
      </c>
      <c r="C111" s="26" t="s">
        <v>8</v>
      </c>
      <c r="D111" s="28"/>
    </row>
    <row r="112" spans="1:4">
      <c r="A112" s="27">
        <v>3</v>
      </c>
      <c r="B112" s="26" t="s">
        <v>9</v>
      </c>
      <c r="C112" s="26" t="s">
        <v>10</v>
      </c>
      <c r="D112" s="28"/>
    </row>
    <row r="113" spans="1:4">
      <c r="A113" s="29">
        <v>4</v>
      </c>
      <c r="B113" s="30" t="s">
        <v>11</v>
      </c>
      <c r="C113" s="30" t="s">
        <v>12</v>
      </c>
      <c r="D113" s="31"/>
    </row>
    <row r="116" spans="1:4" ht="32" customHeight="1">
      <c r="A116" s="18" t="s">
        <v>1</v>
      </c>
      <c r="B116" s="19" t="s">
        <v>19</v>
      </c>
      <c r="C116" s="20" t="s">
        <v>64</v>
      </c>
      <c r="D116" s="21" t="s">
        <v>18</v>
      </c>
    </row>
    <row r="117" spans="1:4">
      <c r="A117" s="27">
        <v>1</v>
      </c>
      <c r="B117" s="26" t="s">
        <v>5</v>
      </c>
      <c r="C117" s="26" t="s">
        <v>6</v>
      </c>
      <c r="D117" s="28"/>
    </row>
    <row r="118" spans="1:4">
      <c r="A118" s="27">
        <v>2</v>
      </c>
      <c r="B118" s="26" t="s">
        <v>7</v>
      </c>
      <c r="C118" s="26" t="s">
        <v>8</v>
      </c>
      <c r="D118" s="28"/>
    </row>
    <row r="119" spans="1:4">
      <c r="A119" s="27">
        <v>3</v>
      </c>
      <c r="B119" s="26" t="s">
        <v>9</v>
      </c>
      <c r="C119" s="26" t="s">
        <v>10</v>
      </c>
      <c r="D119" s="28"/>
    </row>
    <row r="120" spans="1:4">
      <c r="A120" s="29">
        <v>4</v>
      </c>
      <c r="B120" s="30" t="s">
        <v>11</v>
      </c>
      <c r="C120" s="30" t="s">
        <v>12</v>
      </c>
      <c r="D120" s="31"/>
    </row>
    <row r="123" spans="1:4" ht="32" customHeight="1">
      <c r="A123" s="18" t="s">
        <v>1</v>
      </c>
      <c r="B123" s="19" t="s">
        <v>19</v>
      </c>
      <c r="C123" s="20" t="s">
        <v>65</v>
      </c>
      <c r="D123" s="21" t="s">
        <v>18</v>
      </c>
    </row>
    <row r="124" spans="1:4">
      <c r="A124" s="27">
        <v>1</v>
      </c>
      <c r="B124" s="26" t="s">
        <v>5</v>
      </c>
      <c r="C124" s="26" t="s">
        <v>6</v>
      </c>
      <c r="D124" s="28"/>
    </row>
    <row r="125" spans="1:4">
      <c r="A125" s="27">
        <v>2</v>
      </c>
      <c r="B125" s="26" t="s">
        <v>7</v>
      </c>
      <c r="C125" s="26" t="s">
        <v>8</v>
      </c>
      <c r="D125" s="28"/>
    </row>
    <row r="126" spans="1:4">
      <c r="A126" s="27">
        <v>3</v>
      </c>
      <c r="B126" s="26" t="s">
        <v>9</v>
      </c>
      <c r="C126" s="26" t="s">
        <v>10</v>
      </c>
      <c r="D126" s="28"/>
    </row>
    <row r="127" spans="1:4">
      <c r="A127" s="29">
        <v>4</v>
      </c>
      <c r="B127" s="30" t="s">
        <v>11</v>
      </c>
      <c r="C127" s="30" t="s">
        <v>12</v>
      </c>
      <c r="D127" s="31"/>
    </row>
    <row r="130" spans="1:4" ht="32" customHeight="1">
      <c r="A130" s="18" t="s">
        <v>1</v>
      </c>
      <c r="B130" s="19" t="s">
        <v>19</v>
      </c>
      <c r="C130" s="20" t="s">
        <v>66</v>
      </c>
      <c r="D130" s="21" t="s">
        <v>18</v>
      </c>
    </row>
    <row r="131" spans="1:4">
      <c r="A131" s="27">
        <v>1</v>
      </c>
      <c r="B131" s="26" t="s">
        <v>5</v>
      </c>
      <c r="C131" s="26" t="s">
        <v>6</v>
      </c>
      <c r="D131" s="28"/>
    </row>
    <row r="132" spans="1:4">
      <c r="A132" s="27">
        <v>2</v>
      </c>
      <c r="B132" s="26" t="s">
        <v>7</v>
      </c>
      <c r="C132" s="26" t="s">
        <v>8</v>
      </c>
      <c r="D132" s="28"/>
    </row>
    <row r="133" spans="1:4">
      <c r="A133" s="27">
        <v>3</v>
      </c>
      <c r="B133" s="26" t="s">
        <v>9</v>
      </c>
      <c r="C133" s="26" t="s">
        <v>10</v>
      </c>
      <c r="D133" s="28"/>
    </row>
    <row r="134" spans="1:4">
      <c r="A134" s="29">
        <v>4</v>
      </c>
      <c r="B134" s="30" t="s">
        <v>11</v>
      </c>
      <c r="C134" s="30" t="s">
        <v>12</v>
      </c>
      <c r="D134" s="31"/>
    </row>
  </sheetData>
  <mergeCells count="1">
    <mergeCell ref="B11:C11"/>
  </mergeCells>
  <conditionalFormatting sqref="D1:D1048576">
    <cfRule type="containsText" dxfId="215" priority="1" stopIfTrue="1" operator="containsText" text="falla">
      <formula>NOT(ISERROR(SEARCH("falla",D1)))</formula>
    </cfRule>
    <cfRule type="containsText" dxfId="214" priority="2" stopIfTrue="1" operator="containsText" text="pasa">
      <formula>NOT(ISERROR(SEARCH("pasa",D1)))</formula>
    </cfRule>
    <cfRule type="containsText" dxfId="213" priority="3" stopIfTrue="1" operator="containsText" text="n/a">
      <formula>NOT(ISERROR(SEARCH("n/a",D1)))</formula>
    </cfRule>
  </conditionalFormatting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80EDBA-351E-47A0-9FA9-1E92F0A0CFFC}">
          <x14:formula1>
            <xm:f>Datos!$A$2:$A$5</xm:f>
          </x14:formula1>
          <xm:sqref>D19:D22 D26:D29 D33:D36 D40:D43 D47:D50 D54:D57 D61:D64 D68:D71 D75:D78 D82:D85 D89:D92 D96:D99 D103:D106 D110:D113 D117:D120 D124:D127 D131:D134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FD2AF-CEA8-4595-A824-DB8C821807C4}">
  <sheetPr codeName="Hoja218"/>
  <dimension ref="A2:M85"/>
  <sheetViews>
    <sheetView workbookViewId="0"/>
  </sheetViews>
  <sheetFormatPr baseColWidth="10" defaultRowHeight="16"/>
  <cols>
    <col min="1" max="1" width="6.58203125" style="1" customWidth="1"/>
    <col min="2" max="2" width="16.1640625" customWidth="1"/>
    <col min="3" max="3" width="56.58203125" customWidth="1"/>
    <col min="4" max="4" width="11.1640625" customWidth="1"/>
  </cols>
  <sheetData>
    <row r="2" spans="2:13" ht="29.5">
      <c r="B2" s="4" t="s">
        <v>24</v>
      </c>
    </row>
    <row r="3" spans="2:13" ht="25">
      <c r="B3" s="5" t="s">
        <v>25</v>
      </c>
    </row>
    <row r="4" spans="2:13" ht="26" customHeight="1"/>
    <row r="5" spans="2:13" ht="22.5">
      <c r="B5" s="7" t="s">
        <v>26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12" customHeight="1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</row>
    <row r="8" spans="2:13" ht="23">
      <c r="B8" s="9" t="s">
        <v>27</v>
      </c>
    </row>
    <row r="9" spans="2:13" ht="23">
      <c r="B9" s="9" t="s">
        <v>28</v>
      </c>
    </row>
    <row r="11" spans="2:13">
      <c r="B11" s="22" t="s">
        <v>29</v>
      </c>
      <c r="C11" s="23"/>
    </row>
    <row r="12" spans="2:13">
      <c r="B12" s="26" t="s">
        <v>19</v>
      </c>
      <c r="C12" s="26">
        <v>5</v>
      </c>
    </row>
    <row r="13" spans="2:13">
      <c r="B13" s="26" t="s">
        <v>22</v>
      </c>
      <c r="C13" s="26">
        <v>5</v>
      </c>
    </row>
    <row r="14" spans="2:13">
      <c r="B14" s="26" t="s">
        <v>30</v>
      </c>
      <c r="C14" s="26">
        <v>10</v>
      </c>
    </row>
    <row r="18" spans="1:4" ht="32" customHeight="1">
      <c r="A18" s="18" t="s">
        <v>1</v>
      </c>
      <c r="B18" s="19" t="s">
        <v>19</v>
      </c>
      <c r="C18" s="20" t="s">
        <v>40</v>
      </c>
      <c r="D18" s="21" t="s">
        <v>18</v>
      </c>
    </row>
    <row r="19" spans="1:4">
      <c r="A19" s="27">
        <v>1</v>
      </c>
      <c r="B19" s="26" t="s">
        <v>5</v>
      </c>
      <c r="C19" s="26" t="s">
        <v>6</v>
      </c>
      <c r="D19" s="28"/>
    </row>
    <row r="20" spans="1:4">
      <c r="A20" s="27">
        <v>2</v>
      </c>
      <c r="B20" s="26" t="s">
        <v>7</v>
      </c>
      <c r="C20" s="26" t="s">
        <v>8</v>
      </c>
      <c r="D20" s="28"/>
    </row>
    <row r="21" spans="1:4">
      <c r="A21" s="27">
        <v>3</v>
      </c>
      <c r="B21" s="26" t="s">
        <v>9</v>
      </c>
      <c r="C21" s="26" t="s">
        <v>10</v>
      </c>
      <c r="D21" s="28"/>
    </row>
    <row r="22" spans="1:4">
      <c r="A22" s="29">
        <v>4</v>
      </c>
      <c r="B22" s="30" t="s">
        <v>11</v>
      </c>
      <c r="C22" s="30" t="s">
        <v>12</v>
      </c>
      <c r="D22" s="31"/>
    </row>
    <row r="25" spans="1:4" ht="32" customHeight="1">
      <c r="A25" s="18" t="s">
        <v>1</v>
      </c>
      <c r="B25" s="19" t="s">
        <v>22</v>
      </c>
      <c r="C25" s="20" t="s">
        <v>41</v>
      </c>
      <c r="D25" s="21" t="s">
        <v>18</v>
      </c>
    </row>
    <row r="26" spans="1:4">
      <c r="A26" s="27">
        <v>1</v>
      </c>
      <c r="B26" s="26" t="s">
        <v>5</v>
      </c>
      <c r="C26" s="26" t="s">
        <v>6</v>
      </c>
      <c r="D26" s="28"/>
    </row>
    <row r="27" spans="1:4">
      <c r="A27" s="27">
        <v>2</v>
      </c>
      <c r="B27" s="26" t="s">
        <v>7</v>
      </c>
      <c r="C27" s="26" t="s">
        <v>8</v>
      </c>
      <c r="D27" s="28"/>
    </row>
    <row r="28" spans="1:4">
      <c r="A28" s="27">
        <v>3</v>
      </c>
      <c r="B28" s="26" t="s">
        <v>9</v>
      </c>
      <c r="C28" s="26" t="s">
        <v>10</v>
      </c>
      <c r="D28" s="28"/>
    </row>
    <row r="29" spans="1:4">
      <c r="A29" s="29">
        <v>4</v>
      </c>
      <c r="B29" s="30" t="s">
        <v>11</v>
      </c>
      <c r="C29" s="30" t="s">
        <v>12</v>
      </c>
      <c r="D29" s="31"/>
    </row>
    <row r="32" spans="1:4" ht="32" customHeight="1">
      <c r="A32" s="18" t="s">
        <v>1</v>
      </c>
      <c r="B32" s="19" t="s">
        <v>19</v>
      </c>
      <c r="C32" s="20" t="s">
        <v>42</v>
      </c>
      <c r="D32" s="21" t="s">
        <v>18</v>
      </c>
    </row>
    <row r="33" spans="1:4">
      <c r="A33" s="27">
        <v>1</v>
      </c>
      <c r="B33" s="26" t="s">
        <v>5</v>
      </c>
      <c r="C33" s="26" t="s">
        <v>6</v>
      </c>
      <c r="D33" s="28"/>
    </row>
    <row r="34" spans="1:4">
      <c r="A34" s="27">
        <v>2</v>
      </c>
      <c r="B34" s="26" t="s">
        <v>7</v>
      </c>
      <c r="C34" s="26" t="s">
        <v>8</v>
      </c>
      <c r="D34" s="28"/>
    </row>
    <row r="35" spans="1:4">
      <c r="A35" s="27">
        <v>3</v>
      </c>
      <c r="B35" s="26" t="s">
        <v>9</v>
      </c>
      <c r="C35" s="26" t="s">
        <v>10</v>
      </c>
      <c r="D35" s="28"/>
    </row>
    <row r="36" spans="1:4">
      <c r="A36" s="29">
        <v>4</v>
      </c>
      <c r="B36" s="30" t="s">
        <v>11</v>
      </c>
      <c r="C36" s="30" t="s">
        <v>12</v>
      </c>
      <c r="D36" s="31"/>
    </row>
    <row r="39" spans="1:4" ht="32" customHeight="1">
      <c r="A39" s="18" t="s">
        <v>1</v>
      </c>
      <c r="B39" s="19" t="s">
        <v>19</v>
      </c>
      <c r="C39" s="20" t="s">
        <v>43</v>
      </c>
      <c r="D39" s="21" t="s">
        <v>18</v>
      </c>
    </row>
    <row r="40" spans="1:4">
      <c r="A40" s="27">
        <v>1</v>
      </c>
      <c r="B40" s="26" t="s">
        <v>5</v>
      </c>
      <c r="C40" s="26" t="s">
        <v>6</v>
      </c>
      <c r="D40" s="28"/>
    </row>
    <row r="41" spans="1:4">
      <c r="A41" s="27">
        <v>2</v>
      </c>
      <c r="B41" s="26" t="s">
        <v>7</v>
      </c>
      <c r="C41" s="26" t="s">
        <v>8</v>
      </c>
      <c r="D41" s="28"/>
    </row>
    <row r="42" spans="1:4">
      <c r="A42" s="27">
        <v>3</v>
      </c>
      <c r="B42" s="26" t="s">
        <v>9</v>
      </c>
      <c r="C42" s="26" t="s">
        <v>10</v>
      </c>
      <c r="D42" s="28"/>
    </row>
    <row r="43" spans="1:4">
      <c r="A43" s="29">
        <v>4</v>
      </c>
      <c r="B43" s="30" t="s">
        <v>11</v>
      </c>
      <c r="C43" s="30" t="s">
        <v>12</v>
      </c>
      <c r="D43" s="31"/>
    </row>
    <row r="46" spans="1:4" ht="32" customHeight="1">
      <c r="A46" s="18" t="s">
        <v>1</v>
      </c>
      <c r="B46" s="19" t="s">
        <v>22</v>
      </c>
      <c r="C46" s="20" t="s">
        <v>44</v>
      </c>
      <c r="D46" s="21" t="s">
        <v>18</v>
      </c>
    </row>
    <row r="47" spans="1:4">
      <c r="A47" s="27">
        <v>1</v>
      </c>
      <c r="B47" s="26" t="s">
        <v>5</v>
      </c>
      <c r="C47" s="26" t="s">
        <v>6</v>
      </c>
      <c r="D47" s="28"/>
    </row>
    <row r="48" spans="1:4">
      <c r="A48" s="27">
        <v>2</v>
      </c>
      <c r="B48" s="26" t="s">
        <v>7</v>
      </c>
      <c r="C48" s="26" t="s">
        <v>8</v>
      </c>
      <c r="D48" s="28"/>
    </row>
    <row r="49" spans="1:4">
      <c r="A49" s="27">
        <v>3</v>
      </c>
      <c r="B49" s="26" t="s">
        <v>9</v>
      </c>
      <c r="C49" s="26" t="s">
        <v>10</v>
      </c>
      <c r="D49" s="28"/>
    </row>
    <row r="50" spans="1:4">
      <c r="A50" s="29">
        <v>4</v>
      </c>
      <c r="B50" s="30" t="s">
        <v>11</v>
      </c>
      <c r="C50" s="30" t="s">
        <v>12</v>
      </c>
      <c r="D50" s="31"/>
    </row>
    <row r="53" spans="1:4" ht="32" customHeight="1">
      <c r="A53" s="18" t="s">
        <v>1</v>
      </c>
      <c r="B53" s="19" t="s">
        <v>22</v>
      </c>
      <c r="C53" s="20" t="s">
        <v>45</v>
      </c>
      <c r="D53" s="21" t="s">
        <v>18</v>
      </c>
    </row>
    <row r="54" spans="1:4">
      <c r="A54" s="27">
        <v>1</v>
      </c>
      <c r="B54" s="26" t="s">
        <v>5</v>
      </c>
      <c r="C54" s="26" t="s">
        <v>6</v>
      </c>
      <c r="D54" s="28"/>
    </row>
    <row r="55" spans="1:4">
      <c r="A55" s="27">
        <v>2</v>
      </c>
      <c r="B55" s="26" t="s">
        <v>7</v>
      </c>
      <c r="C55" s="26" t="s">
        <v>8</v>
      </c>
      <c r="D55" s="28"/>
    </row>
    <row r="56" spans="1:4">
      <c r="A56" s="27">
        <v>3</v>
      </c>
      <c r="B56" s="26" t="s">
        <v>9</v>
      </c>
      <c r="C56" s="26" t="s">
        <v>10</v>
      </c>
      <c r="D56" s="28"/>
    </row>
    <row r="57" spans="1:4">
      <c r="A57" s="29">
        <v>4</v>
      </c>
      <c r="B57" s="30" t="s">
        <v>11</v>
      </c>
      <c r="C57" s="30" t="s">
        <v>12</v>
      </c>
      <c r="D57" s="31"/>
    </row>
    <row r="60" spans="1:4" ht="32" customHeight="1">
      <c r="A60" s="18" t="s">
        <v>1</v>
      </c>
      <c r="B60" s="19" t="s">
        <v>19</v>
      </c>
      <c r="C60" s="20" t="s">
        <v>46</v>
      </c>
      <c r="D60" s="21" t="s">
        <v>18</v>
      </c>
    </row>
    <row r="61" spans="1:4">
      <c r="A61" s="27">
        <v>1</v>
      </c>
      <c r="B61" s="26" t="s">
        <v>5</v>
      </c>
      <c r="C61" s="26" t="s">
        <v>6</v>
      </c>
      <c r="D61" s="28"/>
    </row>
    <row r="62" spans="1:4">
      <c r="A62" s="27">
        <v>2</v>
      </c>
      <c r="B62" s="26" t="s">
        <v>7</v>
      </c>
      <c r="C62" s="26" t="s">
        <v>8</v>
      </c>
      <c r="D62" s="28"/>
    </row>
    <row r="63" spans="1:4">
      <c r="A63" s="27">
        <v>3</v>
      </c>
      <c r="B63" s="26" t="s">
        <v>9</v>
      </c>
      <c r="C63" s="26" t="s">
        <v>10</v>
      </c>
      <c r="D63" s="28"/>
    </row>
    <row r="64" spans="1:4">
      <c r="A64" s="29">
        <v>4</v>
      </c>
      <c r="B64" s="30" t="s">
        <v>11</v>
      </c>
      <c r="C64" s="30" t="s">
        <v>12</v>
      </c>
      <c r="D64" s="31"/>
    </row>
    <row r="67" spans="1:4" ht="32" customHeight="1">
      <c r="A67" s="18" t="s">
        <v>1</v>
      </c>
      <c r="B67" s="19" t="s">
        <v>19</v>
      </c>
      <c r="C67" s="20" t="s">
        <v>47</v>
      </c>
      <c r="D67" s="21" t="s">
        <v>18</v>
      </c>
    </row>
    <row r="68" spans="1:4">
      <c r="A68" s="27">
        <v>1</v>
      </c>
      <c r="B68" s="26" t="s">
        <v>5</v>
      </c>
      <c r="C68" s="26" t="s">
        <v>6</v>
      </c>
      <c r="D68" s="28"/>
    </row>
    <row r="69" spans="1:4">
      <c r="A69" s="27">
        <v>2</v>
      </c>
      <c r="B69" s="26" t="s">
        <v>7</v>
      </c>
      <c r="C69" s="26" t="s">
        <v>8</v>
      </c>
      <c r="D69" s="28"/>
    </row>
    <row r="70" spans="1:4">
      <c r="A70" s="27">
        <v>3</v>
      </c>
      <c r="B70" s="26" t="s">
        <v>9</v>
      </c>
      <c r="C70" s="26" t="s">
        <v>10</v>
      </c>
      <c r="D70" s="28"/>
    </row>
    <row r="71" spans="1:4">
      <c r="A71" s="29">
        <v>4</v>
      </c>
      <c r="B71" s="30" t="s">
        <v>11</v>
      </c>
      <c r="C71" s="30" t="s">
        <v>12</v>
      </c>
      <c r="D71" s="31"/>
    </row>
    <row r="74" spans="1:4" ht="32" customHeight="1">
      <c r="A74" s="18" t="s">
        <v>1</v>
      </c>
      <c r="B74" s="19" t="s">
        <v>22</v>
      </c>
      <c r="C74" s="20" t="s">
        <v>48</v>
      </c>
      <c r="D74" s="21" t="s">
        <v>18</v>
      </c>
    </row>
    <row r="75" spans="1:4">
      <c r="A75" s="27">
        <v>1</v>
      </c>
      <c r="B75" s="26" t="s">
        <v>5</v>
      </c>
      <c r="C75" s="26" t="s">
        <v>6</v>
      </c>
      <c r="D75" s="28"/>
    </row>
    <row r="76" spans="1:4">
      <c r="A76" s="27">
        <v>2</v>
      </c>
      <c r="B76" s="26" t="s">
        <v>7</v>
      </c>
      <c r="C76" s="26" t="s">
        <v>8</v>
      </c>
      <c r="D76" s="28"/>
    </row>
    <row r="77" spans="1:4">
      <c r="A77" s="27">
        <v>3</v>
      </c>
      <c r="B77" s="26" t="s">
        <v>9</v>
      </c>
      <c r="C77" s="26" t="s">
        <v>10</v>
      </c>
      <c r="D77" s="28"/>
    </row>
    <row r="78" spans="1:4">
      <c r="A78" s="29">
        <v>4</v>
      </c>
      <c r="B78" s="30" t="s">
        <v>11</v>
      </c>
      <c r="C78" s="30" t="s">
        <v>12</v>
      </c>
      <c r="D78" s="31"/>
    </row>
    <row r="81" spans="1:4" ht="32" customHeight="1">
      <c r="A81" s="18" t="s">
        <v>1</v>
      </c>
      <c r="B81" s="19" t="s">
        <v>22</v>
      </c>
      <c r="C81" s="20" t="s">
        <v>49</v>
      </c>
      <c r="D81" s="21" t="s">
        <v>18</v>
      </c>
    </row>
    <row r="82" spans="1:4">
      <c r="A82" s="27">
        <v>1</v>
      </c>
      <c r="B82" s="26" t="s">
        <v>5</v>
      </c>
      <c r="C82" s="26" t="s">
        <v>6</v>
      </c>
      <c r="D82" s="28"/>
    </row>
    <row r="83" spans="1:4">
      <c r="A83" s="27">
        <v>2</v>
      </c>
      <c r="B83" s="26" t="s">
        <v>7</v>
      </c>
      <c r="C83" s="26" t="s">
        <v>8</v>
      </c>
      <c r="D83" s="28"/>
    </row>
    <row r="84" spans="1:4">
      <c r="A84" s="27">
        <v>3</v>
      </c>
      <c r="B84" s="26" t="s">
        <v>9</v>
      </c>
      <c r="C84" s="26" t="s">
        <v>10</v>
      </c>
      <c r="D84" s="28"/>
    </row>
    <row r="85" spans="1:4">
      <c r="A85" s="29">
        <v>4</v>
      </c>
      <c r="B85" s="30" t="s">
        <v>11</v>
      </c>
      <c r="C85" s="30" t="s">
        <v>12</v>
      </c>
      <c r="D85" s="31"/>
    </row>
  </sheetData>
  <mergeCells count="1">
    <mergeCell ref="B11:C11"/>
  </mergeCells>
  <conditionalFormatting sqref="D1:D1048576">
    <cfRule type="containsText" dxfId="385" priority="1" stopIfTrue="1" operator="containsText" text="falla">
      <formula>NOT(ISERROR(SEARCH("falla",D1)))</formula>
    </cfRule>
    <cfRule type="containsText" dxfId="384" priority="2" stopIfTrue="1" operator="containsText" text="pasa">
      <formula>NOT(ISERROR(SEARCH("pasa",D1)))</formula>
    </cfRule>
    <cfRule type="containsText" dxfId="383" priority="3" stopIfTrue="1" operator="containsText" text="n/a">
      <formula>NOT(ISERROR(SEARCH("n/a",D1)))</formula>
    </cfRule>
  </conditionalFormatting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2DCBB9-2736-40A5-93E2-D4EEF286A749}">
          <x14:formula1>
            <xm:f>Datos!$A$2:$A$5</xm:f>
          </x14:formula1>
          <xm:sqref>D19:D22 D26:D29 D33:D36 D40:D43 D47:D50 D54:D57 D61:D64 D68:D71 D75:D78 D82:D85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73C95-9381-4E3D-B31F-28FC8CC96A0B}">
  <sheetPr codeName="Hoja217"/>
  <dimension ref="A2:M36"/>
  <sheetViews>
    <sheetView workbookViewId="0"/>
  </sheetViews>
  <sheetFormatPr baseColWidth="10" defaultRowHeight="16"/>
  <cols>
    <col min="1" max="1" width="6.58203125" style="1" customWidth="1"/>
    <col min="2" max="2" width="16.1640625" customWidth="1"/>
    <col min="3" max="3" width="56.58203125" customWidth="1"/>
    <col min="4" max="4" width="11.1640625" customWidth="1"/>
  </cols>
  <sheetData>
    <row r="2" spans="2:13" ht="29.5">
      <c r="B2" s="4" t="s">
        <v>24</v>
      </c>
    </row>
    <row r="3" spans="2:13" ht="25">
      <c r="B3" s="5" t="s">
        <v>25</v>
      </c>
    </row>
    <row r="4" spans="2:13" ht="26" customHeight="1"/>
    <row r="5" spans="2:13" ht="22.5">
      <c r="B5" s="7" t="s">
        <v>26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12" customHeight="1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8" spans="2:13" ht="23">
      <c r="B8" s="9" t="s">
        <v>35</v>
      </c>
    </row>
    <row r="9" spans="2:13" ht="23">
      <c r="B9" s="9" t="s">
        <v>36</v>
      </c>
    </row>
    <row r="11" spans="2:13">
      <c r="B11" s="22" t="s">
        <v>29</v>
      </c>
      <c r="C11" s="23"/>
    </row>
    <row r="12" spans="2:13">
      <c r="B12" s="26" t="s">
        <v>19</v>
      </c>
      <c r="C12" s="26">
        <v>2</v>
      </c>
    </row>
    <row r="13" spans="2:13">
      <c r="B13" s="26" t="s">
        <v>22</v>
      </c>
      <c r="C13" s="26">
        <v>1</v>
      </c>
    </row>
    <row r="14" spans="2:13">
      <c r="B14" s="26" t="s">
        <v>30</v>
      </c>
      <c r="C14" s="26">
        <v>3</v>
      </c>
    </row>
    <row r="18" spans="1:4" ht="32" customHeight="1">
      <c r="A18" s="18" t="s">
        <v>1</v>
      </c>
      <c r="B18" s="19" t="s">
        <v>19</v>
      </c>
      <c r="C18" s="20" t="s">
        <v>37</v>
      </c>
      <c r="D18" s="21" t="s">
        <v>18</v>
      </c>
    </row>
    <row r="19" spans="1:4">
      <c r="A19" s="27">
        <v>1</v>
      </c>
      <c r="B19" s="26" t="s">
        <v>5</v>
      </c>
      <c r="C19" s="26" t="s">
        <v>6</v>
      </c>
      <c r="D19" s="28"/>
    </row>
    <row r="20" spans="1:4">
      <c r="A20" s="27">
        <v>2</v>
      </c>
      <c r="B20" s="26" t="s">
        <v>7</v>
      </c>
      <c r="C20" s="26" t="s">
        <v>8</v>
      </c>
      <c r="D20" s="28"/>
    </row>
    <row r="21" spans="1:4">
      <c r="A21" s="27">
        <v>3</v>
      </c>
      <c r="B21" s="26" t="s">
        <v>9</v>
      </c>
      <c r="C21" s="26" t="s">
        <v>10</v>
      </c>
      <c r="D21" s="28"/>
    </row>
    <row r="22" spans="1:4">
      <c r="A22" s="29">
        <v>4</v>
      </c>
      <c r="B22" s="30" t="s">
        <v>11</v>
      </c>
      <c r="C22" s="30" t="s">
        <v>12</v>
      </c>
      <c r="D22" s="31"/>
    </row>
    <row r="25" spans="1:4" ht="32" customHeight="1">
      <c r="A25" s="18" t="s">
        <v>1</v>
      </c>
      <c r="B25" s="19" t="s">
        <v>19</v>
      </c>
      <c r="C25" s="20" t="s">
        <v>38</v>
      </c>
      <c r="D25" s="21" t="s">
        <v>18</v>
      </c>
    </row>
    <row r="26" spans="1:4">
      <c r="A26" s="27">
        <v>1</v>
      </c>
      <c r="B26" s="26" t="s">
        <v>5</v>
      </c>
      <c r="C26" s="26" t="s">
        <v>6</v>
      </c>
      <c r="D26" s="28"/>
    </row>
    <row r="27" spans="1:4">
      <c r="A27" s="27">
        <v>2</v>
      </c>
      <c r="B27" s="26" t="s">
        <v>7</v>
      </c>
      <c r="C27" s="26" t="s">
        <v>8</v>
      </c>
      <c r="D27" s="28"/>
    </row>
    <row r="28" spans="1:4">
      <c r="A28" s="27">
        <v>3</v>
      </c>
      <c r="B28" s="26" t="s">
        <v>9</v>
      </c>
      <c r="C28" s="26" t="s">
        <v>10</v>
      </c>
      <c r="D28" s="28"/>
    </row>
    <row r="29" spans="1:4">
      <c r="A29" s="29">
        <v>4</v>
      </c>
      <c r="B29" s="30" t="s">
        <v>11</v>
      </c>
      <c r="C29" s="30" t="s">
        <v>12</v>
      </c>
      <c r="D29" s="31"/>
    </row>
    <row r="32" spans="1:4" ht="32" customHeight="1">
      <c r="A32" s="18" t="s">
        <v>1</v>
      </c>
      <c r="B32" s="19" t="s">
        <v>22</v>
      </c>
      <c r="C32" s="20" t="s">
        <v>39</v>
      </c>
      <c r="D32" s="21" t="s">
        <v>18</v>
      </c>
    </row>
    <row r="33" spans="1:4">
      <c r="A33" s="27">
        <v>1</v>
      </c>
      <c r="B33" s="26" t="s">
        <v>5</v>
      </c>
      <c r="C33" s="26" t="s">
        <v>6</v>
      </c>
      <c r="D33" s="28"/>
    </row>
    <row r="34" spans="1:4">
      <c r="A34" s="27">
        <v>2</v>
      </c>
      <c r="B34" s="26" t="s">
        <v>7</v>
      </c>
      <c r="C34" s="26" t="s">
        <v>8</v>
      </c>
      <c r="D34" s="28"/>
    </row>
    <row r="35" spans="1:4">
      <c r="A35" s="27">
        <v>3</v>
      </c>
      <c r="B35" s="26" t="s">
        <v>9</v>
      </c>
      <c r="C35" s="26" t="s">
        <v>10</v>
      </c>
      <c r="D35" s="28"/>
    </row>
    <row r="36" spans="1:4">
      <c r="A36" s="29">
        <v>4</v>
      </c>
      <c r="B36" s="30" t="s">
        <v>11</v>
      </c>
      <c r="C36" s="30" t="s">
        <v>12</v>
      </c>
      <c r="D36" s="31"/>
    </row>
  </sheetData>
  <mergeCells count="1">
    <mergeCell ref="B11:C11"/>
  </mergeCells>
  <conditionalFormatting sqref="D1:D1048576">
    <cfRule type="containsText" dxfId="485" priority="1" stopIfTrue="1" operator="containsText" text="falla">
      <formula>NOT(ISERROR(SEARCH("falla",D1)))</formula>
    </cfRule>
    <cfRule type="containsText" dxfId="484" priority="2" stopIfTrue="1" operator="containsText" text="pasa">
      <formula>NOT(ISERROR(SEARCH("pasa",D1)))</formula>
    </cfRule>
    <cfRule type="containsText" dxfId="483" priority="3" stopIfTrue="1" operator="containsText" text="n/a">
      <formula>NOT(ISERROR(SEARCH("n/a",D1)))</formula>
    </cfRule>
  </conditionalFormatting>
  <pageMargins left="0.7" right="0.7" top="0.75" bottom="0.75" header="0.3" footer="0.3"/>
  <tableParts count="3">
    <tablePart r:id="rId1"/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754CF2-8ACD-4CC6-A771-7F7A0C48448C}">
          <x14:formula1>
            <xm:f>Datos!$A$2:$A$5</xm:f>
          </x14:formula1>
          <xm:sqref>D19:D22 D26:D29 D33:D36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938C1-3D31-41B5-9313-888A1767007F}">
  <sheetPr codeName="Hoja221"/>
  <dimension ref="B2:AG27"/>
  <sheetViews>
    <sheetView tabSelected="1" workbookViewId="0"/>
  </sheetViews>
  <sheetFormatPr baseColWidth="10" defaultRowHeight="16"/>
  <cols>
    <col min="3" max="3" width="45.58203125" customWidth="1"/>
    <col min="4" max="33" width="6.58203125" customWidth="1"/>
  </cols>
  <sheetData>
    <row r="2" spans="2:33" ht="29.5">
      <c r="B2" s="4" t="s">
        <v>24</v>
      </c>
    </row>
    <row r="3" spans="2:33" ht="25">
      <c r="B3" s="5" t="s">
        <v>25</v>
      </c>
    </row>
    <row r="6" spans="2:33" ht="15" customHeight="1">
      <c r="C6" s="17" t="s">
        <v>136</v>
      </c>
      <c r="D6" s="12"/>
      <c r="E6" s="12"/>
      <c r="F6" s="12"/>
      <c r="G6" s="12"/>
      <c r="H6" s="12"/>
      <c r="I6" s="12"/>
      <c r="J6" s="12"/>
      <c r="K6" s="12"/>
      <c r="L6" s="12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8"/>
      <c r="AB6" s="8"/>
      <c r="AC6" s="8"/>
      <c r="AD6" s="8"/>
      <c r="AE6" s="8"/>
      <c r="AF6" s="10"/>
      <c r="AG6" s="10"/>
    </row>
    <row r="7" spans="2:33" ht="50" customHeight="1">
      <c r="C7" s="32" t="s">
        <v>83</v>
      </c>
      <c r="D7" s="33" t="s">
        <v>84</v>
      </c>
      <c r="E7" s="33" t="s">
        <v>85</v>
      </c>
      <c r="F7" s="33" t="s">
        <v>86</v>
      </c>
      <c r="G7" s="33" t="s">
        <v>87</v>
      </c>
      <c r="H7" s="33" t="s">
        <v>88</v>
      </c>
      <c r="I7" s="33" t="s">
        <v>89</v>
      </c>
      <c r="J7" s="33" t="s">
        <v>90</v>
      </c>
      <c r="K7" s="33" t="s">
        <v>91</v>
      </c>
      <c r="L7" s="33" t="s">
        <v>92</v>
      </c>
      <c r="M7" s="33" t="s">
        <v>93</v>
      </c>
      <c r="N7" s="33" t="s">
        <v>94</v>
      </c>
      <c r="O7" s="33" t="s">
        <v>95</v>
      </c>
      <c r="P7" s="33" t="s">
        <v>96</v>
      </c>
      <c r="Q7" s="33" t="s">
        <v>97</v>
      </c>
      <c r="R7" s="33" t="s">
        <v>98</v>
      </c>
      <c r="S7" s="33" t="s">
        <v>99</v>
      </c>
      <c r="T7" s="33" t="s">
        <v>100</v>
      </c>
      <c r="U7" s="33" t="s">
        <v>101</v>
      </c>
      <c r="V7" s="33" t="s">
        <v>102</v>
      </c>
      <c r="W7" s="33" t="s">
        <v>103</v>
      </c>
      <c r="X7" s="33" t="s">
        <v>104</v>
      </c>
      <c r="Y7" s="33" t="s">
        <v>105</v>
      </c>
      <c r="Z7" s="33" t="s">
        <v>106</v>
      </c>
      <c r="AA7" s="33" t="s">
        <v>107</v>
      </c>
      <c r="AB7" s="33" t="s">
        <v>108</v>
      </c>
      <c r="AC7" s="33" t="s">
        <v>109</v>
      </c>
      <c r="AD7" s="33" t="s">
        <v>110</v>
      </c>
      <c r="AE7" s="33" t="s">
        <v>111</v>
      </c>
      <c r="AF7" s="33" t="s">
        <v>112</v>
      </c>
      <c r="AG7" s="33" t="s">
        <v>113</v>
      </c>
    </row>
    <row r="8" spans="2:33">
      <c r="B8" s="24" t="s">
        <v>5</v>
      </c>
      <c r="C8" s="34" t="s">
        <v>6</v>
      </c>
      <c r="D8" s="26" t="str">
        <f>INDEX(T1_1_1[Resultado], 1)</f>
        <v>N/A</v>
      </c>
      <c r="E8" s="26" t="str">
        <f>INDEX(T1_2_1[Resultado], 1)</f>
        <v>Pasa</v>
      </c>
      <c r="F8" s="26">
        <f>INDEX(T1_2_2[Resultado], 1)</f>
        <v>0</v>
      </c>
      <c r="G8" s="26">
        <f>INDEX(T1_2_3[Resultado], 1)</f>
        <v>0</v>
      </c>
      <c r="H8" s="26">
        <f>INDEX(T1_3_1[Resultado], 1)</f>
        <v>0</v>
      </c>
      <c r="I8" s="26">
        <f>INDEX(T1_3_2[Resultado], 1)</f>
        <v>0</v>
      </c>
      <c r="J8" s="26">
        <f>INDEX(T1_3_3[Resultado], 1)</f>
        <v>0</v>
      </c>
      <c r="K8" s="26">
        <f>INDEX(T1_4_1[Resultado], 1)</f>
        <v>0</v>
      </c>
      <c r="L8" s="26">
        <f>INDEX(T1_4_2[Resultado], 1)</f>
        <v>0</v>
      </c>
      <c r="M8" s="26">
        <f>INDEX(T2_1_1[Resultado], 1)</f>
        <v>0</v>
      </c>
      <c r="N8" s="26">
        <f>INDEX(T2_1_2[Resultado], 1)</f>
        <v>0</v>
      </c>
      <c r="O8" s="26">
        <f>INDEX(T2_1_4[Resultado], 1)</f>
        <v>0</v>
      </c>
      <c r="P8" s="26">
        <f>INDEX(T2_2_1[Resultado], 1)</f>
        <v>0</v>
      </c>
      <c r="Q8" s="26">
        <f>INDEX(T2_2_2[Resultado], 1)</f>
        <v>0</v>
      </c>
      <c r="R8" s="26">
        <f>INDEX(T2_3_1[Resultado], 1)</f>
        <v>0</v>
      </c>
      <c r="S8" s="26">
        <f>INDEX(T2_4_1[Resultado], 1)</f>
        <v>0</v>
      </c>
      <c r="T8" s="26">
        <f>INDEX(T2_4_2[Resultado], 1)</f>
        <v>0</v>
      </c>
      <c r="U8" s="26">
        <f>INDEX(T2_4_3[Resultado], 1)</f>
        <v>0</v>
      </c>
      <c r="V8" s="26">
        <f>INDEX(T2_4_4[Resultado], 1)</f>
        <v>0</v>
      </c>
      <c r="W8" s="26">
        <f>INDEX(T2_5_1[Resultado], 1)</f>
        <v>0</v>
      </c>
      <c r="X8" s="26">
        <f>INDEX(T2_5_2[Resultado], 1)</f>
        <v>0</v>
      </c>
      <c r="Y8" s="26">
        <f>INDEX(T2_5_3[Resultado], 1)</f>
        <v>0</v>
      </c>
      <c r="Z8" s="26">
        <f>INDEX(T2_5_4_[Resultado], 1)</f>
        <v>0</v>
      </c>
      <c r="AA8" s="26">
        <f>INDEX(T3_1_1[Resultado], 1)</f>
        <v>0</v>
      </c>
      <c r="AB8" s="26">
        <f>INDEX(T3_2_1[Resultado], 1)</f>
        <v>0</v>
      </c>
      <c r="AC8" s="26">
        <f>INDEX(T3_2_2[Resultado], 1)</f>
        <v>0</v>
      </c>
      <c r="AD8" s="26">
        <f>INDEX(T3_3_1[Resultado], 1)</f>
        <v>0</v>
      </c>
      <c r="AE8" s="26">
        <f>INDEX(T3_3_2[Resultado], 1)</f>
        <v>0</v>
      </c>
      <c r="AF8" s="26">
        <f>INDEX(T4_1_1[Resultado], 1)</f>
        <v>0</v>
      </c>
      <c r="AG8" s="26">
        <f>INDEX(T4_1_2[Resultado], 1)</f>
        <v>0</v>
      </c>
    </row>
    <row r="9" spans="2:33">
      <c r="B9" s="25" t="s">
        <v>7</v>
      </c>
      <c r="C9" s="35" t="s">
        <v>8</v>
      </c>
      <c r="D9" s="26">
        <f>INDEX(T1_1_1[Resultado], 2)</f>
        <v>0</v>
      </c>
      <c r="E9" s="26">
        <f>INDEX(T1_2_1[Resultado], 2)</f>
        <v>0</v>
      </c>
      <c r="F9" s="26">
        <f>INDEX(T1_2_2[Resultado], 2)</f>
        <v>0</v>
      </c>
      <c r="G9" s="26">
        <f>INDEX(T1_2_3[Resultado], 2)</f>
        <v>0</v>
      </c>
      <c r="H9" s="26">
        <f>INDEX(T1_3_1[Resultado], 2)</f>
        <v>0</v>
      </c>
      <c r="I9" s="26">
        <f>INDEX(T1_3_2[Resultado], 2)</f>
        <v>0</v>
      </c>
      <c r="J9" s="26">
        <f>INDEX(T1_3_3[Resultado], 2)</f>
        <v>0</v>
      </c>
      <c r="K9" s="26">
        <f>INDEX(T1_4_1[Resultado], 2)</f>
        <v>0</v>
      </c>
      <c r="L9" s="26">
        <f>INDEX(T1_4_2[Resultado], 2)</f>
        <v>0</v>
      </c>
      <c r="M9" s="26">
        <f>INDEX(T2_1_1[Resultado], 2)</f>
        <v>0</v>
      </c>
      <c r="N9" s="26">
        <f>INDEX(T2_1_2[Resultado], 2)</f>
        <v>0</v>
      </c>
      <c r="O9" s="26">
        <f>INDEX(T2_1_4[Resultado], 2)</f>
        <v>0</v>
      </c>
      <c r="P9" s="26">
        <f>INDEX(T2_2_1[Resultado], 2)</f>
        <v>0</v>
      </c>
      <c r="Q9" s="26">
        <f>INDEX(T2_2_2[Resultado], 2)</f>
        <v>0</v>
      </c>
      <c r="R9" s="26">
        <f>INDEX(T2_3_1[Resultado], 2)</f>
        <v>0</v>
      </c>
      <c r="S9" s="26">
        <f>INDEX(T2_4_1[Resultado], 2)</f>
        <v>0</v>
      </c>
      <c r="T9" s="26">
        <f>INDEX(T2_4_2[Resultado], 2)</f>
        <v>0</v>
      </c>
      <c r="U9" s="26">
        <f>INDEX(T2_4_3[Resultado], 2)</f>
        <v>0</v>
      </c>
      <c r="V9" s="26">
        <f>INDEX(T2_4_4[Resultado], 2)</f>
        <v>0</v>
      </c>
      <c r="W9" s="26">
        <f>INDEX(T2_5_1[Resultado], 2)</f>
        <v>0</v>
      </c>
      <c r="X9" s="26">
        <f>INDEX(T2_5_2[Resultado], 2)</f>
        <v>0</v>
      </c>
      <c r="Y9" s="26">
        <f>INDEX(T2_5_3[Resultado], 2)</f>
        <v>0</v>
      </c>
      <c r="Z9" s="26">
        <f>INDEX(T2_5_4_[Resultado], 2)</f>
        <v>0</v>
      </c>
      <c r="AA9" s="26">
        <f>INDEX(T3_1_1[Resultado], 2)</f>
        <v>0</v>
      </c>
      <c r="AB9" s="26">
        <f>INDEX(T3_2_1[Resultado], 2)</f>
        <v>0</v>
      </c>
      <c r="AC9" s="26">
        <f>INDEX(T3_2_2[Resultado], 2)</f>
        <v>0</v>
      </c>
      <c r="AD9" s="26">
        <f>INDEX(T3_3_1[Resultado], 2)</f>
        <v>0</v>
      </c>
      <c r="AE9" s="26">
        <f>INDEX(T3_3_2[Resultado], 2)</f>
        <v>0</v>
      </c>
      <c r="AF9" s="26">
        <f>INDEX(T4_1_1[Resultado], 2)</f>
        <v>0</v>
      </c>
      <c r="AG9" s="26">
        <f>INDEX(T4_1_2[Resultado], 2)</f>
        <v>0</v>
      </c>
    </row>
    <row r="10" spans="2:33">
      <c r="B10" s="24" t="s">
        <v>9</v>
      </c>
      <c r="C10" s="34" t="s">
        <v>10</v>
      </c>
      <c r="D10" s="26" t="str">
        <f>INDEX(T1_1_1[Resultado], 3)</f>
        <v>Falla</v>
      </c>
      <c r="E10" s="26">
        <f>INDEX(T1_2_1[Resultado], 3)</f>
        <v>0</v>
      </c>
      <c r="F10" s="26">
        <f>INDEX(T1_2_2[Resultado], 3)</f>
        <v>0</v>
      </c>
      <c r="G10" s="26">
        <f>INDEX(T1_2_3[Resultado], 3)</f>
        <v>0</v>
      </c>
      <c r="H10" s="26">
        <f>INDEX(T1_3_1[Resultado], 3)</f>
        <v>0</v>
      </c>
      <c r="I10" s="26">
        <f>INDEX(T1_3_2[Resultado], 3)</f>
        <v>0</v>
      </c>
      <c r="J10" s="26">
        <f>INDEX(T1_3_3[Resultado], 3)</f>
        <v>0</v>
      </c>
      <c r="K10" s="26">
        <f>INDEX(T1_4_1[Resultado], 3)</f>
        <v>0</v>
      </c>
      <c r="L10" s="26">
        <f>INDEX(T1_4_2[Resultado], 3)</f>
        <v>0</v>
      </c>
      <c r="M10" s="26">
        <f>INDEX(T2_1_1[Resultado], 3)</f>
        <v>0</v>
      </c>
      <c r="N10" s="26">
        <f>INDEX(T2_1_2[Resultado], 3)</f>
        <v>0</v>
      </c>
      <c r="O10" s="26">
        <f>INDEX(T2_1_4[Resultado], 3)</f>
        <v>0</v>
      </c>
      <c r="P10" s="26">
        <f>INDEX(T2_2_1[Resultado], 3)</f>
        <v>0</v>
      </c>
      <c r="Q10" s="26">
        <f>INDEX(T2_2_2[Resultado], 3)</f>
        <v>0</v>
      </c>
      <c r="R10" s="26">
        <f>INDEX(T2_3_1[Resultado], 3)</f>
        <v>0</v>
      </c>
      <c r="S10" s="26">
        <f>INDEX(T2_4_1[Resultado], 3)</f>
        <v>0</v>
      </c>
      <c r="T10" s="26">
        <f>INDEX(T2_4_2[Resultado], 3)</f>
        <v>0</v>
      </c>
      <c r="U10" s="26">
        <f>INDEX(T2_4_3[Resultado], 3)</f>
        <v>0</v>
      </c>
      <c r="V10" s="26">
        <f>INDEX(T2_4_4[Resultado], 3)</f>
        <v>0</v>
      </c>
      <c r="W10" s="26">
        <f>INDEX(T2_5_1[Resultado], 3)</f>
        <v>0</v>
      </c>
      <c r="X10" s="26">
        <f>INDEX(T2_5_2[Resultado], 3)</f>
        <v>0</v>
      </c>
      <c r="Y10" s="26">
        <f>INDEX(T2_5_3[Resultado], 3)</f>
        <v>0</v>
      </c>
      <c r="Z10" s="26">
        <f>INDEX(T2_5_4_[Resultado], 3)</f>
        <v>0</v>
      </c>
      <c r="AA10" s="26">
        <f>INDEX(T3_1_1[Resultado], 3)</f>
        <v>0</v>
      </c>
      <c r="AB10" s="26">
        <f>INDEX(T3_2_1[Resultado], 3)</f>
        <v>0</v>
      </c>
      <c r="AC10" s="26">
        <f>INDEX(T3_2_2[Resultado], 3)</f>
        <v>0</v>
      </c>
      <c r="AD10" s="26">
        <f>INDEX(T3_3_1[Resultado], 3)</f>
        <v>0</v>
      </c>
      <c r="AE10" s="26">
        <f>INDEX(T3_3_2[Resultado], 3)</f>
        <v>0</v>
      </c>
      <c r="AF10" s="26">
        <f>INDEX(T4_1_1[Resultado], 3)</f>
        <v>0</v>
      </c>
      <c r="AG10" s="26">
        <f>INDEX(T4_1_2[Resultado], 3)</f>
        <v>0</v>
      </c>
    </row>
    <row r="11" spans="2:33">
      <c r="B11" s="25" t="s">
        <v>11</v>
      </c>
      <c r="C11" s="35" t="s">
        <v>12</v>
      </c>
      <c r="D11" s="26">
        <f>INDEX(T1_1_1[Resultado], 4)</f>
        <v>0</v>
      </c>
      <c r="E11" s="26">
        <f>INDEX(T1_2_1[Resultado], 4)</f>
        <v>0</v>
      </c>
      <c r="F11" s="26">
        <f>INDEX(T1_2_2[Resultado], 4)</f>
        <v>0</v>
      </c>
      <c r="G11" s="26">
        <f>INDEX(T1_2_3[Resultado], 4)</f>
        <v>0</v>
      </c>
      <c r="H11" s="26">
        <f>INDEX(T1_3_1[Resultado], 4)</f>
        <v>0</v>
      </c>
      <c r="I11" s="26">
        <f>INDEX(T1_3_2[Resultado], 4)</f>
        <v>0</v>
      </c>
      <c r="J11" s="26">
        <f>INDEX(T1_3_3[Resultado], 4)</f>
        <v>0</v>
      </c>
      <c r="K11" s="26">
        <f>INDEX(T1_4_1[Resultado], 4)</f>
        <v>0</v>
      </c>
      <c r="L11" s="26">
        <f>INDEX(T1_4_2[Resultado], 4)</f>
        <v>0</v>
      </c>
      <c r="M11" s="26">
        <f>INDEX(T2_1_1[Resultado], 4)</f>
        <v>0</v>
      </c>
      <c r="N11" s="26">
        <f>INDEX(T2_1_2[Resultado], 4)</f>
        <v>0</v>
      </c>
      <c r="O11" s="26">
        <f>INDEX(T2_1_4[Resultado], 4)</f>
        <v>0</v>
      </c>
      <c r="P11" s="26">
        <f>INDEX(T2_2_1[Resultado], 4)</f>
        <v>0</v>
      </c>
      <c r="Q11" s="26">
        <f>INDEX(T2_2_2[Resultado], 4)</f>
        <v>0</v>
      </c>
      <c r="R11" s="26">
        <f>INDEX(T2_3_1[Resultado], 4)</f>
        <v>0</v>
      </c>
      <c r="S11" s="26">
        <f>INDEX(T2_4_1[Resultado], 4)</f>
        <v>0</v>
      </c>
      <c r="T11" s="26">
        <f>INDEX(T2_4_2[Resultado], 4)</f>
        <v>0</v>
      </c>
      <c r="U11" s="26">
        <f>INDEX(T2_4_3[Resultado], 4)</f>
        <v>0</v>
      </c>
      <c r="V11" s="26">
        <f>INDEX(T2_4_4[Resultado], 4)</f>
        <v>0</v>
      </c>
      <c r="W11" s="26">
        <f>INDEX(T2_5_1[Resultado], 4)</f>
        <v>0</v>
      </c>
      <c r="X11" s="26">
        <f>INDEX(T2_5_2[Resultado], 4)</f>
        <v>0</v>
      </c>
      <c r="Y11" s="26">
        <f>INDEX(T2_5_3[Resultado], 4)</f>
        <v>0</v>
      </c>
      <c r="Z11" s="26">
        <f>INDEX(T2_5_4_[Resultado], 4)</f>
        <v>0</v>
      </c>
      <c r="AA11" s="26">
        <f>INDEX(T3_1_1[Resultado], 4)</f>
        <v>0</v>
      </c>
      <c r="AB11" s="26">
        <f>INDEX(T3_2_1[Resultado], 4)</f>
        <v>0</v>
      </c>
      <c r="AC11" s="26">
        <f>INDEX(T3_2_2[Resultado], 4)</f>
        <v>0</v>
      </c>
      <c r="AD11" s="26">
        <f>INDEX(T3_3_1[Resultado], 4)</f>
        <v>0</v>
      </c>
      <c r="AE11" s="26">
        <f>INDEX(T3_3_2[Resultado], 4)</f>
        <v>0</v>
      </c>
      <c r="AF11" s="26">
        <f>INDEX(T4_1_1[Resultado], 4)</f>
        <v>0</v>
      </c>
      <c r="AG11" s="26">
        <f>INDEX(T4_1_2[Resultado], 4)</f>
        <v>0</v>
      </c>
    </row>
    <row r="12" spans="2:33">
      <c r="C12" s="13" t="s">
        <v>15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2:33">
      <c r="C13" s="13" t="s">
        <v>16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2:33">
      <c r="C14" s="15" t="s">
        <v>135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</row>
    <row r="15" spans="2:33" ht="80" customHeight="1">
      <c r="C15" s="14" t="s">
        <v>134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8" spans="2:23" ht="15" customHeight="1">
      <c r="C18" s="17" t="s">
        <v>137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1"/>
      <c r="P18" s="11"/>
      <c r="Q18" s="11"/>
      <c r="R18" s="8"/>
      <c r="S18" s="8"/>
      <c r="T18" s="8"/>
      <c r="U18" s="8"/>
      <c r="V18" s="8"/>
      <c r="W18" s="10"/>
    </row>
    <row r="19" spans="2:23" ht="50" customHeight="1">
      <c r="C19" s="32" t="s">
        <v>83</v>
      </c>
      <c r="D19" s="33" t="s">
        <v>114</v>
      </c>
      <c r="E19" s="33" t="s">
        <v>115</v>
      </c>
      <c r="F19" s="33" t="s">
        <v>116</v>
      </c>
      <c r="G19" s="33" t="s">
        <v>117</v>
      </c>
      <c r="H19" s="33" t="s">
        <v>118</v>
      </c>
      <c r="I19" s="33" t="s">
        <v>119</v>
      </c>
      <c r="J19" s="33" t="s">
        <v>120</v>
      </c>
      <c r="K19" s="33" t="s">
        <v>121</v>
      </c>
      <c r="L19" s="33" t="s">
        <v>122</v>
      </c>
      <c r="M19" s="33" t="s">
        <v>123</v>
      </c>
      <c r="N19" s="33" t="s">
        <v>124</v>
      </c>
      <c r="O19" s="33" t="s">
        <v>125</v>
      </c>
      <c r="P19" s="33" t="s">
        <v>126</v>
      </c>
      <c r="Q19" s="33" t="s">
        <v>127</v>
      </c>
      <c r="R19" s="33" t="s">
        <v>128</v>
      </c>
      <c r="S19" s="33" t="s">
        <v>129</v>
      </c>
      <c r="T19" s="33" t="s">
        <v>130</v>
      </c>
      <c r="U19" s="33" t="s">
        <v>131</v>
      </c>
      <c r="V19" s="33" t="s">
        <v>132</v>
      </c>
      <c r="W19" s="33" t="s">
        <v>133</v>
      </c>
    </row>
    <row r="20" spans="2:23">
      <c r="B20" s="24" t="s">
        <v>5</v>
      </c>
      <c r="C20" s="34" t="s">
        <v>6</v>
      </c>
      <c r="D20" s="26">
        <f>INDEX(T1_2_4[Resultado], 1)</f>
        <v>0</v>
      </c>
      <c r="E20" s="26">
        <f>INDEX(T1_2_5[Resultado], 1)</f>
        <v>0</v>
      </c>
      <c r="F20" s="26">
        <f>INDEX(T1_3_4[Resultado], 1)</f>
        <v>0</v>
      </c>
      <c r="G20" s="26">
        <f>INDEX(T1_3_5[Resultado], 1)</f>
        <v>0</v>
      </c>
      <c r="H20" s="26">
        <f>INDEX(T1_4_3[Resultado], 1)</f>
        <v>0</v>
      </c>
      <c r="I20" s="26">
        <f>INDEX(T1_4_4[Resultado], 1)</f>
        <v>0</v>
      </c>
      <c r="J20" s="26">
        <f>INDEX(T1_4_5[Resultado], 1)</f>
        <v>0</v>
      </c>
      <c r="K20" s="26">
        <f>INDEX(T1_4_10[Resultado], 1)</f>
        <v>0</v>
      </c>
      <c r="L20" s="26">
        <f>INDEX(T1_4_11[Resultado], 1)</f>
        <v>0</v>
      </c>
      <c r="M20" s="26">
        <f>INDEX(T1_4_12[Resultado], 1)</f>
        <v>0</v>
      </c>
      <c r="N20" s="26">
        <f>INDEX(T1_4_13[Resultado], 1)</f>
        <v>0</v>
      </c>
      <c r="O20" s="26">
        <f>INDEX(T2_4_5[Resultado], 1)</f>
        <v>0</v>
      </c>
      <c r="P20" s="26">
        <f>INDEX(T2_4_6[Resultado], 1)</f>
        <v>0</v>
      </c>
      <c r="Q20" s="26">
        <f>INDEX(T2_4_7[Resultado], 1)</f>
        <v>0</v>
      </c>
      <c r="R20" s="26">
        <f>INDEX(T3_1_2[Resultado], 1)</f>
        <v>0</v>
      </c>
      <c r="S20" s="26">
        <f>INDEX(T3_2_3[Resultado], 1)</f>
        <v>0</v>
      </c>
      <c r="T20" s="26">
        <f>INDEX(T3_2_4[Resultado], 1)</f>
        <v>0</v>
      </c>
      <c r="U20" s="26">
        <f>INDEX(T3_3_3[Resultado], 1)</f>
        <v>0</v>
      </c>
      <c r="V20" s="26">
        <f>INDEX(T3_3_4[Resultado], 1)</f>
        <v>0</v>
      </c>
      <c r="W20" s="26">
        <f>INDEX(T4_1_3[Resultado], 1)</f>
        <v>0</v>
      </c>
    </row>
    <row r="21" spans="2:23">
      <c r="B21" s="25" t="s">
        <v>7</v>
      </c>
      <c r="C21" s="35" t="s">
        <v>8</v>
      </c>
      <c r="D21" s="26">
        <f>INDEX(T1_2_4[Resultado], 2)</f>
        <v>0</v>
      </c>
      <c r="E21" s="26">
        <f>INDEX(T1_2_5[Resultado], 2)</f>
        <v>0</v>
      </c>
      <c r="F21" s="26">
        <f>INDEX(T1_3_4[Resultado], 2)</f>
        <v>0</v>
      </c>
      <c r="G21" s="26">
        <f>INDEX(T1_3_5[Resultado], 2)</f>
        <v>0</v>
      </c>
      <c r="H21" s="26">
        <f>INDEX(T1_4_3[Resultado], 2)</f>
        <v>0</v>
      </c>
      <c r="I21" s="26">
        <f>INDEX(T1_4_4[Resultado], 2)</f>
        <v>0</v>
      </c>
      <c r="J21" s="26">
        <f>INDEX(T1_4_5[Resultado], 2)</f>
        <v>0</v>
      </c>
      <c r="K21" s="26">
        <f>INDEX(T1_4_10[Resultado], 2)</f>
        <v>0</v>
      </c>
      <c r="L21" s="26">
        <f>INDEX(T1_4_11[Resultado], 2)</f>
        <v>0</v>
      </c>
      <c r="M21" s="26">
        <f>INDEX(T1_4_12[Resultado], 2)</f>
        <v>0</v>
      </c>
      <c r="N21" s="26">
        <f>INDEX(T1_4_13[Resultado], 2)</f>
        <v>0</v>
      </c>
      <c r="O21" s="26">
        <f>INDEX(T2_4_5[Resultado], 2)</f>
        <v>0</v>
      </c>
      <c r="P21" s="26">
        <f>INDEX(T2_4_6[Resultado], 2)</f>
        <v>0</v>
      </c>
      <c r="Q21" s="26">
        <f>INDEX(T2_4_7[Resultado], 2)</f>
        <v>0</v>
      </c>
      <c r="R21" s="26">
        <f>INDEX(T3_1_2[Resultado], 2)</f>
        <v>0</v>
      </c>
      <c r="S21" s="26">
        <f>INDEX(T3_2_3[Resultado], 2)</f>
        <v>0</v>
      </c>
      <c r="T21" s="26">
        <f>INDEX(T3_2_4[Resultado], 2)</f>
        <v>0</v>
      </c>
      <c r="U21" s="26">
        <f>INDEX(T3_3_3[Resultado], 2)</f>
        <v>0</v>
      </c>
      <c r="V21" s="26">
        <f>INDEX(T3_3_4[Resultado], 2)</f>
        <v>0</v>
      </c>
      <c r="W21" s="26">
        <f>INDEX(T4_1_3[Resultado], 2)</f>
        <v>0</v>
      </c>
    </row>
    <row r="22" spans="2:23">
      <c r="B22" s="24" t="s">
        <v>9</v>
      </c>
      <c r="C22" s="34" t="s">
        <v>10</v>
      </c>
      <c r="D22" s="26">
        <f>INDEX(T1_2_4[Resultado], 3)</f>
        <v>0</v>
      </c>
      <c r="E22" s="26">
        <f>INDEX(T1_2_5[Resultado], 3)</f>
        <v>0</v>
      </c>
      <c r="F22" s="26">
        <f>INDEX(T1_3_4[Resultado], 3)</f>
        <v>0</v>
      </c>
      <c r="G22" s="26">
        <f>INDEX(T1_3_5[Resultado], 3)</f>
        <v>0</v>
      </c>
      <c r="H22" s="26">
        <f>INDEX(T1_4_3[Resultado], 3)</f>
        <v>0</v>
      </c>
      <c r="I22" s="26">
        <f>INDEX(T1_4_4[Resultado], 3)</f>
        <v>0</v>
      </c>
      <c r="J22" s="26">
        <f>INDEX(T1_4_5[Resultado], 3)</f>
        <v>0</v>
      </c>
      <c r="K22" s="26">
        <f>INDEX(T1_4_10[Resultado], 3)</f>
        <v>0</v>
      </c>
      <c r="L22" s="26">
        <f>INDEX(T1_4_11[Resultado], 3)</f>
        <v>0</v>
      </c>
      <c r="M22" s="26">
        <f>INDEX(T1_4_12[Resultado], 3)</f>
        <v>0</v>
      </c>
      <c r="N22" s="26">
        <f>INDEX(T1_4_13[Resultado], 3)</f>
        <v>0</v>
      </c>
      <c r="O22" s="26">
        <f>INDEX(T2_4_5[Resultado], 3)</f>
        <v>0</v>
      </c>
      <c r="P22" s="26">
        <f>INDEX(T2_4_6[Resultado], 3)</f>
        <v>0</v>
      </c>
      <c r="Q22" s="26">
        <f>INDEX(T2_4_7[Resultado], 3)</f>
        <v>0</v>
      </c>
      <c r="R22" s="26">
        <f>INDEX(T3_1_2[Resultado], 3)</f>
        <v>0</v>
      </c>
      <c r="S22" s="26">
        <f>INDEX(T3_2_3[Resultado], 3)</f>
        <v>0</v>
      </c>
      <c r="T22" s="26">
        <f>INDEX(T3_2_4[Resultado], 3)</f>
        <v>0</v>
      </c>
      <c r="U22" s="26">
        <f>INDEX(T3_3_3[Resultado], 3)</f>
        <v>0</v>
      </c>
      <c r="V22" s="26">
        <f>INDEX(T3_3_4[Resultado], 3)</f>
        <v>0</v>
      </c>
      <c r="W22" s="26">
        <f>INDEX(T4_1_3[Resultado], 3)</f>
        <v>0</v>
      </c>
    </row>
    <row r="23" spans="2:23">
      <c r="B23" s="25" t="s">
        <v>11</v>
      </c>
      <c r="C23" s="35" t="s">
        <v>12</v>
      </c>
      <c r="D23" s="26">
        <f>INDEX(T1_2_4[Resultado], 4)</f>
        <v>0</v>
      </c>
      <c r="E23" s="26">
        <f>INDEX(T1_2_5[Resultado], 4)</f>
        <v>0</v>
      </c>
      <c r="F23" s="26">
        <f>INDEX(T1_3_4[Resultado], 4)</f>
        <v>0</v>
      </c>
      <c r="G23" s="26">
        <f>INDEX(T1_3_5[Resultado], 4)</f>
        <v>0</v>
      </c>
      <c r="H23" s="26">
        <f>INDEX(T1_4_3[Resultado], 4)</f>
        <v>0</v>
      </c>
      <c r="I23" s="26">
        <f>INDEX(T1_4_4[Resultado], 4)</f>
        <v>0</v>
      </c>
      <c r="J23" s="26">
        <f>INDEX(T1_4_5[Resultado], 4)</f>
        <v>0</v>
      </c>
      <c r="K23" s="26">
        <f>INDEX(T1_4_10[Resultado], 4)</f>
        <v>0</v>
      </c>
      <c r="L23" s="26">
        <f>INDEX(T1_4_11[Resultado], 4)</f>
        <v>0</v>
      </c>
      <c r="M23" s="26">
        <f>INDEX(T1_4_12[Resultado], 4)</f>
        <v>0</v>
      </c>
      <c r="N23" s="26">
        <f>INDEX(T1_4_13[Resultado], 4)</f>
        <v>0</v>
      </c>
      <c r="O23" s="26">
        <f>INDEX(T2_4_5[Resultado], 4)</f>
        <v>0</v>
      </c>
      <c r="P23" s="26">
        <f>INDEX(T2_4_6[Resultado], 4)</f>
        <v>0</v>
      </c>
      <c r="Q23" s="26">
        <f>INDEX(T2_4_7[Resultado], 4)</f>
        <v>0</v>
      </c>
      <c r="R23" s="26">
        <f>INDEX(T3_1_2[Resultado], 4)</f>
        <v>0</v>
      </c>
      <c r="S23" s="26">
        <f>INDEX(T3_2_3[Resultado], 4)</f>
        <v>0</v>
      </c>
      <c r="T23" s="26">
        <f>INDEX(T3_2_4[Resultado], 4)</f>
        <v>0</v>
      </c>
      <c r="U23" s="26">
        <f>INDEX(T3_3_3[Resultado], 4)</f>
        <v>0</v>
      </c>
      <c r="V23" s="26">
        <f>INDEX(T3_3_4[Resultado], 4)</f>
        <v>0</v>
      </c>
      <c r="W23" s="26">
        <f>INDEX(T4_1_3[Resultado], 4)</f>
        <v>0</v>
      </c>
    </row>
    <row r="24" spans="2:23">
      <c r="C24" s="13" t="s">
        <v>15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2:23">
      <c r="C25" s="13" t="s">
        <v>16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2:23">
      <c r="C26" s="15" t="s">
        <v>135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</row>
    <row r="27" spans="2:23" ht="80" customHeight="1">
      <c r="C27" s="14" t="s">
        <v>134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</sheetData>
  <conditionalFormatting sqref="D7:AG11">
    <cfRule type="containsText" dxfId="5" priority="1" stopIfTrue="1" operator="containsText" text="falla">
      <formula>NOT(ISERROR(SEARCH("falla",D7)))</formula>
    </cfRule>
    <cfRule type="containsText" dxfId="4" priority="2" stopIfTrue="1" operator="containsText" text="pasa">
      <formula>NOT(ISERROR(SEARCH("pasa",D7)))</formula>
    </cfRule>
    <cfRule type="containsText" dxfId="3" priority="3" stopIfTrue="1" operator="containsText" text="n/a">
      <formula>NOT(ISERROR(SEARCH("n/a",D7)))</formula>
    </cfRule>
  </conditionalFormatting>
  <conditionalFormatting sqref="D19:W23">
    <cfRule type="containsText" dxfId="2" priority="4" stopIfTrue="1" operator="containsText" text="falla">
      <formula>NOT(ISERROR(SEARCH("falla",D19)))</formula>
    </cfRule>
    <cfRule type="containsText" dxfId="1" priority="5" stopIfTrue="1" operator="containsText" text="pasa">
      <formula>NOT(ISERROR(SEARCH("pasa",D19)))</formula>
    </cfRule>
    <cfRule type="containsText" dxfId="0" priority="6" stopIfTrue="1" operator="containsText" text="n/a">
      <formula>NOT(ISERROR(SEARCH("n/a",D19)))</formula>
    </cfRule>
  </conditionalFormatting>
  <hyperlinks>
    <hyperlink ref="C8" r:id="rId1" xr:uid="{EB77A6EA-B1AC-41BA-B6E5-C5A896A5D0CB}"/>
    <hyperlink ref="C9" r:id="rId2" xr:uid="{06CCEDBA-41A2-432A-BD00-BF1B94839760}"/>
    <hyperlink ref="C10" r:id="rId3" xr:uid="{46D2AF6A-0D5E-472C-9A97-7FF8FF9FE1CD}"/>
    <hyperlink ref="C11" r:id="rId4" xr:uid="{E8552C49-A91E-4966-ABF8-E1FB1C3A72CE}"/>
    <hyperlink ref="C20" r:id="rId5" xr:uid="{D849C885-183F-4162-819E-F2D81EB0B32E}"/>
    <hyperlink ref="C21" r:id="rId6" xr:uid="{B321975D-DE4A-496B-964C-D7CDE8045021}"/>
    <hyperlink ref="C22" r:id="rId7" xr:uid="{FF6C0FCD-382B-49EC-B308-AF3E2502F0E4}"/>
    <hyperlink ref="C23" r:id="rId8" xr:uid="{BA6C49FB-8F55-4A67-8A25-444A89EEE9B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2FDC0-8EBE-4415-89B9-6DCED82D34AA}">
  <sheetPr codeName="Hoja3"/>
  <dimension ref="A1:A5"/>
  <sheetViews>
    <sheetView workbookViewId="0">
      <selection activeCell="M13" sqref="M13"/>
    </sheetView>
  </sheetViews>
  <sheetFormatPr baseColWidth="10" defaultRowHeight="16"/>
  <cols>
    <col min="1" max="1" width="11" customWidth="1"/>
  </cols>
  <sheetData>
    <row r="1" spans="1:1">
      <c r="A1" t="s">
        <v>2</v>
      </c>
    </row>
    <row r="2" spans="1:1">
      <c r="A2" t="s">
        <v>13</v>
      </c>
    </row>
    <row r="3" spans="1:1">
      <c r="A3" t="s">
        <v>14</v>
      </c>
    </row>
    <row r="4" spans="1:1">
      <c r="A4" t="s">
        <v>15</v>
      </c>
    </row>
    <row r="5" spans="1:1">
      <c r="A5" t="s">
        <v>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Muestra</vt:lpstr>
      <vt:lpstr>Perceptible</vt:lpstr>
      <vt:lpstr>Operable</vt:lpstr>
      <vt:lpstr>Comprensible</vt:lpstr>
      <vt:lpstr>Robusto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Izquierdo Ferrando</dc:creator>
  <cp:lastModifiedBy>Carlos Izquierdo Ferrando</cp:lastModifiedBy>
  <dcterms:created xsi:type="dcterms:W3CDTF">2024-11-22T08:02:01Z</dcterms:created>
  <dcterms:modified xsi:type="dcterms:W3CDTF">2024-11-29T18:40:50Z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2024-11-22T08:02:09Z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50283660-e42c-46fe-96ed-eed7c4ff8ced</vt:lpwstr>
  </property>
  <property fmtid="{D5CDD505-2E9C-101B-9397-08002B2CF9AE}" pid="7" name="MSIP_Label_defa4170-0d19-0005-0004-bc88714345d2_ActionId">
    <vt:lpwstr>1fcafc45-a90d-46b0-ae15-b3376119dc9d</vt:lpwstr>
  </property>
  <property fmtid="{D5CDD505-2E9C-101B-9397-08002B2CF9AE}" pid="8" name="MSIP_Label_defa4170-0d19-0005-0004-bc88714345d2_ContentBits">
    <vt:lpwstr>0</vt:lpwstr>
  </property>
</Properties>
</file>