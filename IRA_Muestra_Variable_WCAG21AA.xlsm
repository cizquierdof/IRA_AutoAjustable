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wkgt5-my.sharepoint.com/personal/cizquierdof_wkgt5_onmicrosoft_com/Documents/Servicios/VSCODE PRUEBAS/pruebas_VBA/"/>
    </mc:Choice>
  </mc:AlternateContent>
  <xr:revisionPtr revIDLastSave="632915" documentId="8_{F71DCFEC-F741-4286-A1FF-CAD598B6C06C}" xr6:coauthVersionLast="47" xr6:coauthVersionMax="47" xr10:uidLastSave="{7207179B-7C6B-4AF1-AE83-C59D458FEEC9}"/>
  <bookViews>
    <workbookView xWindow="-28920" yWindow="13620" windowWidth="29040" windowHeight="15720" xr2:uid="{ACEA2C4A-3559-4691-B287-0FD8CD48A897}"/>
  </bookViews>
  <sheets>
    <sheet name="Muestra" sheetId="1" r:id="rId1"/>
    <sheet name="Perceptible" sheetId="1229" r:id="rId2"/>
    <sheet name="Operable" sheetId="1228" r:id="rId3"/>
    <sheet name="Comprensible" sheetId="1227" r:id="rId4"/>
    <sheet name="Robusto" sheetId="1226" r:id="rId5"/>
    <sheet name="Resultados" sheetId="1230" r:id="rId6"/>
    <sheet name="Datos" sheetId="3" state="hidden" r:id="rId7"/>
  </sheets>
  <functionGroups builtInGroupCount="19"/>
  <definedNames>
    <definedName name="_xleta.IF" hidden="1" xlm="1">#NAME?</definedName>
    <definedName name="_xleta.SUBTOTAL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3" i="1230" l="1"/>
  <c r="W22" i="1230"/>
  <c r="W21" i="1230"/>
  <c r="W20" i="1230"/>
  <c r="V23" i="1230"/>
  <c r="V22" i="1230"/>
  <c r="V21" i="1230"/>
  <c r="V20" i="1230"/>
  <c r="U23" i="1230"/>
  <c r="U22" i="1230"/>
  <c r="U21" i="1230"/>
  <c r="U20" i="1230"/>
  <c r="T23" i="1230"/>
  <c r="T22" i="1230"/>
  <c r="T21" i="1230"/>
  <c r="T20" i="1230"/>
  <c r="S23" i="1230"/>
  <c r="S22" i="1230"/>
  <c r="S21" i="1230"/>
  <c r="S20" i="1230"/>
  <c r="R23" i="1230"/>
  <c r="R22" i="1230"/>
  <c r="R21" i="1230"/>
  <c r="R20" i="1230"/>
  <c r="Q23" i="1230"/>
  <c r="Q22" i="1230"/>
  <c r="Q21" i="1230"/>
  <c r="Q20" i="1230"/>
  <c r="P23" i="1230"/>
  <c r="P22" i="1230"/>
  <c r="P21" i="1230"/>
  <c r="P20" i="1230"/>
  <c r="O23" i="1230"/>
  <c r="O22" i="1230"/>
  <c r="O21" i="1230"/>
  <c r="O20" i="1230"/>
  <c r="N23" i="1230"/>
  <c r="N22" i="1230"/>
  <c r="N21" i="1230"/>
  <c r="N20" i="1230"/>
  <c r="M23" i="1230"/>
  <c r="M22" i="1230"/>
  <c r="M21" i="1230"/>
  <c r="M20" i="1230"/>
  <c r="L23" i="1230"/>
  <c r="L22" i="1230"/>
  <c r="L21" i="1230"/>
  <c r="L20" i="1230"/>
  <c r="K23" i="1230"/>
  <c r="K22" i="1230"/>
  <c r="K21" i="1230"/>
  <c r="K20" i="1230"/>
  <c r="J23" i="1230"/>
  <c r="J22" i="1230"/>
  <c r="J21" i="1230"/>
  <c r="J20" i="1230"/>
  <c r="I23" i="1230"/>
  <c r="I22" i="1230"/>
  <c r="I21" i="1230"/>
  <c r="I20" i="1230"/>
  <c r="H23" i="1230"/>
  <c r="H22" i="1230"/>
  <c r="H21" i="1230"/>
  <c r="H20" i="1230"/>
  <c r="G23" i="1230"/>
  <c r="G22" i="1230"/>
  <c r="G21" i="1230"/>
  <c r="G20" i="1230"/>
  <c r="F23" i="1230"/>
  <c r="F22" i="1230"/>
  <c r="F21" i="1230"/>
  <c r="F20" i="1230"/>
  <c r="E23" i="1230"/>
  <c r="E22" i="1230"/>
  <c r="E21" i="1230"/>
  <c r="E20" i="1230"/>
  <c r="D23" i="1230"/>
  <c r="D22" i="1230"/>
  <c r="D21" i="1230"/>
  <c r="D20" i="1230"/>
</calcChain>
</file>

<file path=xl/sharedStrings.xml><?xml version="1.0" encoding="utf-8"?>
<sst xmlns="http://schemas.openxmlformats.org/spreadsheetml/2006/main" count="732" uniqueCount="138">
  <si>
    <t>Id</t>
  </si>
  <si>
    <t>id</t>
  </si>
  <si>
    <t>Columna1</t>
  </si>
  <si>
    <t>Nombre</t>
  </si>
  <si>
    <t>URL</t>
  </si>
  <si>
    <t>inicio</t>
  </si>
  <si>
    <t>www.inicio.com</t>
  </si>
  <si>
    <t>contacto</t>
  </si>
  <si>
    <t>www.inicio.com/contacto</t>
  </si>
  <si>
    <t>legal</t>
  </si>
  <si>
    <t>www.inicio.com/contacto/legal</t>
  </si>
  <si>
    <t>accessibilidad</t>
  </si>
  <si>
    <t>www.inicio.com/contacto/accesibilidad</t>
  </si>
  <si>
    <t>N/D</t>
  </si>
  <si>
    <t>N/A</t>
  </si>
  <si>
    <t>Pasa</t>
  </si>
  <si>
    <t>Falla</t>
  </si>
  <si>
    <t>1.1.1 Contenido no textual</t>
  </si>
  <si>
    <t>Resultado</t>
  </si>
  <si>
    <t>A</t>
  </si>
  <si>
    <t>1.2.2 Subtítulos (grabados)</t>
  </si>
  <si>
    <t>1.2.3 Audiodescripción o Medio Alternativo (grabado)</t>
  </si>
  <si>
    <t>AA</t>
  </si>
  <si>
    <t>1.2.4 Subtítulos (en directo)</t>
  </si>
  <si>
    <t>Informe de revisión de la accesibilidad</t>
  </si>
  <si>
    <t>Análisis de accesibilidad en profundidad de un sitio web</t>
  </si>
  <si>
    <t>Revisión de la muestra</t>
  </si>
  <si>
    <t>Principio 3: Comprensible</t>
  </si>
  <si>
    <t>La información y el manejo de la interfaz de usuario deben ser comprensibles.</t>
  </si>
  <si>
    <t>Criterios de Conformidad</t>
  </si>
  <si>
    <t>Total</t>
  </si>
  <si>
    <t>Principio 1: Perceptible</t>
  </si>
  <si>
    <t>La información y los componentes de la interfaz de usuario deben ser presentados a los usuarios de modo que ellos puedan percibirlos.</t>
  </si>
  <si>
    <t>Principio 2: Operable</t>
  </si>
  <si>
    <t>Los componentes de la interfaz de usuario y la navegación deben ser operables.</t>
  </si>
  <si>
    <t>Principio 4: Robusto</t>
  </si>
  <si>
    <t>El contenido debe ser lo suficientemente robusto para que pueda ser interpretado de manera confiable</t>
  </si>
  <si>
    <t>4.1.1 Procesamiento</t>
  </si>
  <si>
    <t>4.1.2 Nombre, función, valor</t>
  </si>
  <si>
    <t>4.1.3 Mensajes de estado</t>
  </si>
  <si>
    <t>3.1.1 Idioma de la página</t>
  </si>
  <si>
    <t>3.1.2 Idioma de las partes</t>
  </si>
  <si>
    <t>3.2.1 Al recibir el foco</t>
  </si>
  <si>
    <t>3.2.2 Al recibir entradas</t>
  </si>
  <si>
    <t>3.2.3 Navegación coherente</t>
  </si>
  <si>
    <t>3.2.4 Identificación coherente</t>
  </si>
  <si>
    <t>3.3.1 Identificación de errores</t>
  </si>
  <si>
    <t>3.3.2 Etiquetas o instrucciones</t>
  </si>
  <si>
    <t>3.3.3 Sugerencias ante errores</t>
  </si>
  <si>
    <t>3.3.4 Prevención de errores (legales, financieros, datos)</t>
  </si>
  <si>
    <t>2.1.1 Teclado</t>
  </si>
  <si>
    <t>2.1.2 Sin trampas para el foco del teclado</t>
  </si>
  <si>
    <t>2.1.4  Atajos con teclas de caracteres</t>
  </si>
  <si>
    <t>2.2.1 Tiempo ajustable</t>
  </si>
  <si>
    <t>2.2.2 Poner en pausa, detener, ocultar</t>
  </si>
  <si>
    <t>2.3.1 Umbral de tres destellos o menos</t>
  </si>
  <si>
    <t>2.4.1 Evitar bloques</t>
  </si>
  <si>
    <t>2.4.2 Titulado de páginas</t>
  </si>
  <si>
    <t>2.4.3 Orden del foco</t>
  </si>
  <si>
    <t>2.4.4 Propósito de los enlaces (en contexto)</t>
  </si>
  <si>
    <t>2.4.5 Múltiples vías</t>
  </si>
  <si>
    <t>2.4.6 Encabezados y etiquetas</t>
  </si>
  <si>
    <t>2.4.7 Foco visible</t>
  </si>
  <si>
    <t>2.5.1 Gestos del puntero</t>
  </si>
  <si>
    <t>2.5.2 Cancelación del puntero</t>
  </si>
  <si>
    <t>2.5.3 Etiqueta en el nombre</t>
  </si>
  <si>
    <t>2.5.4. Activación mediante movimiento</t>
  </si>
  <si>
    <t>1.2.1 Sólo audio y sólo vídeo (grabado)</t>
  </si>
  <si>
    <t>1.2.5 Audiodescripción (grabado)</t>
  </si>
  <si>
    <t>1.3.1 Información y relaciones</t>
  </si>
  <si>
    <t>1.3.2 Secuencia significativa</t>
  </si>
  <si>
    <t>1.3.3 Características sensoriales</t>
  </si>
  <si>
    <t>1.3.4 Orientación</t>
  </si>
  <si>
    <t>1.3.5 Identificar el propósito de campo</t>
  </si>
  <si>
    <t>1.4.1 Uso del Color</t>
  </si>
  <si>
    <t>1.4.2 Control del audio</t>
  </si>
  <si>
    <t>1.4.3 Contraste (mínimo)</t>
  </si>
  <si>
    <t>1.4.4 Redimensión del texto</t>
  </si>
  <si>
    <t>1.4.5 Imágenes de texto</t>
  </si>
  <si>
    <t>1.4.10 Reflow</t>
  </si>
  <si>
    <t>1.4.11 Contraste en elementos no textuales</t>
  </si>
  <si>
    <t>1.4.12 Espaciado en el texto</t>
  </si>
  <si>
    <t>1.4.13 Contenido en over o focus</t>
  </si>
  <si>
    <t>Muestra</t>
  </si>
  <si>
    <t>1.1.1</t>
  </si>
  <si>
    <t>1.2.1</t>
  </si>
  <si>
    <t>1.2.2</t>
  </si>
  <si>
    <t>1.2.3</t>
  </si>
  <si>
    <t>1.3.1</t>
  </si>
  <si>
    <t>1.3.2</t>
  </si>
  <si>
    <t>1.3.3</t>
  </si>
  <si>
    <t>1.4.1</t>
  </si>
  <si>
    <t>1.4.2</t>
  </si>
  <si>
    <t>2.1.1</t>
  </si>
  <si>
    <t>2.1.2</t>
  </si>
  <si>
    <t>2.1.4</t>
  </si>
  <si>
    <t>2.2.1</t>
  </si>
  <si>
    <t>2.2.2</t>
  </si>
  <si>
    <t>2.3.1</t>
  </si>
  <si>
    <t>2.4.1</t>
  </si>
  <si>
    <t>2.4.2</t>
  </si>
  <si>
    <t>2.4.3</t>
  </si>
  <si>
    <t>2.4.4</t>
  </si>
  <si>
    <t>2.5.1</t>
  </si>
  <si>
    <t>2.5.2</t>
  </si>
  <si>
    <t>2.5.3</t>
  </si>
  <si>
    <t>2.5.4</t>
  </si>
  <si>
    <t>3.1.1</t>
  </si>
  <si>
    <t>3.2.1</t>
  </si>
  <si>
    <t>3.2.2</t>
  </si>
  <si>
    <t>3.3.1</t>
  </si>
  <si>
    <t>3.3.2</t>
  </si>
  <si>
    <t>4.1.1</t>
  </si>
  <si>
    <t>4.1.2</t>
  </si>
  <si>
    <t>1.2.4</t>
  </si>
  <si>
    <t>1.2.5</t>
  </si>
  <si>
    <t>1.3.4</t>
  </si>
  <si>
    <t>1.3.5</t>
  </si>
  <si>
    <t>1.4.3</t>
  </si>
  <si>
    <t>1.4.4</t>
  </si>
  <si>
    <t>1.4.5</t>
  </si>
  <si>
    <t>1.4.10</t>
  </si>
  <si>
    <t>1.4.11</t>
  </si>
  <si>
    <t>1.4.12</t>
  </si>
  <si>
    <t>1.4.13</t>
  </si>
  <si>
    <t>2.4.5</t>
  </si>
  <si>
    <t>2.4.6</t>
  </si>
  <si>
    <t>2.4.7</t>
  </si>
  <si>
    <t>3.1.2</t>
  </si>
  <si>
    <t>3.2.3</t>
  </si>
  <si>
    <t>3.2.4</t>
  </si>
  <si>
    <t>3.3.3</t>
  </si>
  <si>
    <t>3.3.4</t>
  </si>
  <si>
    <t>4.1.3</t>
  </si>
  <si>
    <t>Resultados</t>
  </si>
  <si>
    <t>No aplica</t>
  </si>
  <si>
    <t>nivel A</t>
  </si>
  <si>
    <t>nivel 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</si>
</sst>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u/>
      <sz val="12"/>
      <color theme="10"/>
      <name val="Aptos Narrow"/>
      <family val="2"/>
      <scheme val="minor"/>
    </font>
    <font>
      <b/>
      <sz val="12"/>
      <color theme="1"/>
      <name val="Calibri"/>
      <family val="2"/>
    </font>
    <font>
      <b/>
      <sz val="12"/>
      <color theme="1"/>
      <name val="Arial"/>
      <family val="2"/>
    </font>
    <font>
      <b/>
      <sz val="24"/>
      <color rgb="FFFFFFFF"/>
      <name val="Calibri"/>
      <family val="2"/>
    </font>
    <font>
      <sz val="24"/>
      <color rgb="FF3465C3"/>
      <name val="Arial"/>
      <family val="2"/>
    </font>
    <font>
      <sz val="20"/>
      <color rgb="FF3465B4"/>
      <name val="Arial"/>
      <family val="2"/>
    </font>
    <font>
      <sz val="18"/>
      <color theme="1"/>
      <name val="Helvetica Neue"/>
    </font>
    <font>
      <b/>
      <sz val="18"/>
      <color theme="1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Verdana"/>
      <family val="2"/>
    </font>
    <font>
      <b/>
      <sz val="12"/>
      <color rgb="FFFFFFFF"/>
      <name val="Verdana"/>
      <family val="2"/>
    </font>
    <font>
      <b/>
      <sz val="24"/>
      <color theme="1"/>
      <name val="Verdana"/>
      <family val="2"/>
    </font>
    <font>
      <b/>
      <sz val="11.5"/>
      <color theme="1"/>
      <name val="Verdana"/>
      <family val="2"/>
    </font>
    <font>
      <b/>
      <sz val="14"/>
      <color theme="1"/>
      <name val="Verdana"/>
      <family val="2"/>
    </font>
    <font>
      <b/>
      <sz val="12"/>
      <color rgb="FFFF0000"/>
      <name val="Verdana"/>
      <family val="2"/>
    </font>
    <font>
      <b/>
      <sz val="12"/>
      <color rgb="FF3333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C9DAF8"/>
        <bgColor indexed="64"/>
      </patternFill>
    </fill>
    <fill>
      <patternFill patternType="solid">
        <fgColor rgb="FF5983B0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FF6D6D"/>
        <bgColor indexed="64"/>
      </patternFill>
    </fill>
    <fill>
      <patternFill patternType="solid">
        <fgColor rgb="FFE8F2A1"/>
        <bgColor indexed="64"/>
      </patternFill>
    </fill>
    <fill>
      <patternFill patternType="solid">
        <fgColor rgb="FFFFBF00"/>
        <bgColor indexed="64"/>
      </patternFill>
    </fill>
    <fill>
      <patternFill patternType="solid">
        <fgColor rgb="FFD4EA6B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75717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1"/>
    <xf numFmtId="0" fontId="6" fillId="0" borderId="0" xfId="0" applyFont="1"/>
    <xf numFmtId="0" fontId="7" fillId="0" borderId="0" xfId="0" applyFont="1"/>
    <xf numFmtId="0" fontId="0" fillId="0" borderId="1" xfId="0" applyBorder="1"/>
    <xf numFmtId="0" fontId="8" fillId="4" borderId="0" xfId="0" applyFont="1" applyFill="1"/>
    <xf numFmtId="0" fontId="0" fillId="5" borderId="0" xfId="0" applyFill="1"/>
    <xf numFmtId="0" fontId="9" fillId="0" borderId="0" xfId="0" applyFont="1"/>
    <xf numFmtId="0" fontId="0" fillId="3" borderId="0" xfId="0" applyFill="1"/>
    <xf numFmtId="0" fontId="0" fillId="7" borderId="0" xfId="0" applyFill="1"/>
    <xf numFmtId="0" fontId="0" fillId="8" borderId="0" xfId="0" applyFill="1"/>
    <xf numFmtId="0" fontId="11" fillId="0" borderId="1" xfId="0" applyFont="1" applyBorder="1"/>
    <xf numFmtId="0" fontId="13" fillId="9" borderId="1" xfId="0" applyFont="1" applyFill="1" applyBorder="1" applyAlignment="1">
      <alignment vertical="center"/>
    </xf>
    <xf numFmtId="0" fontId="12" fillId="10" borderId="1" xfId="0" applyFont="1" applyFill="1" applyBorder="1"/>
    <xf numFmtId="0" fontId="0" fillId="10" borderId="1" xfId="0" applyFill="1" applyBorder="1"/>
    <xf numFmtId="0" fontId="11" fillId="2" borderId="0" xfId="0" applyFont="1" applyFill="1" applyAlignment="1">
      <alignment horizontal="center"/>
    </xf>
    <xf numFmtId="0" fontId="3" fillId="2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10" fillId="6" borderId="2" xfId="0" applyFont="1" applyFill="1" applyBorder="1" applyAlignment="1">
      <alignment horizontal="center"/>
    </xf>
    <xf numFmtId="0" fontId="10" fillId="6" borderId="3" xfId="0" applyFont="1" applyFill="1" applyBorder="1" applyAlignment="1">
      <alignment horizontal="center"/>
    </xf>
    <xf numFmtId="0" fontId="0" fillId="0" borderId="4" xfId="0" applyFont="1" applyBorder="1"/>
    <xf numFmtId="0" fontId="0" fillId="11" borderId="4" xfId="0" applyFont="1" applyFill="1" applyBorder="1"/>
    <xf numFmtId="0" fontId="0" fillId="0" borderId="1" xfId="0" applyFill="1" applyBorder="1"/>
    <xf numFmtId="0" fontId="0" fillId="0" borderId="3" xfId="0" applyFill="1" applyBorder="1" applyAlignment="1">
      <alignment horizontal="center"/>
    </xf>
    <xf numFmtId="0" fontId="0" fillId="0" borderId="2" xfId="0" applyFill="1" applyBorder="1"/>
    <xf numFmtId="0" fontId="0" fillId="0" borderId="9" xfId="0" applyFill="1" applyBorder="1" applyAlignment="1">
      <alignment horizontal="center"/>
    </xf>
    <xf numFmtId="0" fontId="0" fillId="0" borderId="10" xfId="0" applyFill="1" applyBorder="1"/>
    <xf numFmtId="0" fontId="0" fillId="0" borderId="11" xfId="0" applyFill="1" applyBorder="1"/>
    <xf numFmtId="0" fontId="15" fillId="0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textRotation="90"/>
    </xf>
    <xf numFmtId="0" fontId="2" fillId="11" borderId="5" xfId="1" applyFont="1" applyFill="1" applyBorder="1"/>
    <xf numFmtId="0" fontId="2" fillId="0" borderId="5" xfId="1" applyFont="1" applyBorder="1"/>
  </cellXfs>
  <cellStyles count="2">
    <cellStyle name="Hipervínculo" xfId="1" builtinId="8"/>
    <cellStyle name="Normal" xfId="0" builtinId="0"/>
  </cellStyles>
  <dxfs count="507"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1485900</xdr:colOff>
          <xdr:row>29</xdr:row>
          <xdr:rowOff>120650</xdr:rowOff>
        </xdr:from>
        <xdr:to>
          <xdr:col>2</xdr:col>
          <xdr:colOff>857250</xdr:colOff>
          <xdr:row>30</xdr:row>
          <xdr:rowOff>196850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200" b="1" i="0" u="none" strike="noStrike" baseline="0">
                  <a:solidFill>
                    <a:srgbClr val="FF0000"/>
                  </a:solidFill>
                  <a:latin typeface="Verdana"/>
                  <a:ea typeface="Verdana"/>
                </a:rPr>
                <a:t>borrar debug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30</xdr:row>
          <xdr:rowOff>0</xdr:rowOff>
        </xdr:from>
        <xdr:to>
          <xdr:col>1</xdr:col>
          <xdr:colOff>876300</xdr:colOff>
          <xdr:row>31</xdr:row>
          <xdr:rowOff>31750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es-ES" sz="1200" b="1" i="0" u="none" strike="noStrike" baseline="0">
                  <a:solidFill>
                    <a:srgbClr val="333300"/>
                  </a:solidFill>
                  <a:latin typeface="Verdana"/>
                  <a:ea typeface="Verdana"/>
                </a:rPr>
                <a:t>Iniciar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A820815-30F9-49BB-8054-CD8C4932EAA4}" name="muestra" displayName="muestra" ref="A1:C5" totalsRowShown="0">
  <autoFilter ref="A1:C5" xr:uid="{8A820815-30F9-49BB-8054-CD8C4932EAA4}"/>
  <tableColumns count="3">
    <tableColumn id="1" xr3:uid="{B4CC4C34-0C2D-4B1D-A2FB-6C624DBC3A5B}" name="Id" dataDxfId="506"/>
    <tableColumn id="2" xr3:uid="{368B2534-1D28-470A-B594-9CABE8279AA1}" name="Nombre"/>
    <tableColumn id="3" xr3:uid="{C10E206F-87FA-4CC3-BE36-6B3B895433B9}" name="URL" dataCellStyle="Hipervíncul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3" xr:uid="{3AFBB0BB-35CD-4F33-8296-8E9E87B4275F}" name="T1_1_1" displayName="T1_1_1" ref="A18:D22" totalsRowShown="0" headerRowBorderDxfId="201" tableBorderDxfId="202" totalsRowBorderDxfId="200">
  <tableColumns count="4">
    <tableColumn id="1" xr3:uid="{51573385-8514-468B-BF30-6BE5E0BAAE02}" name="id" dataDxfId="34"/>
    <tableColumn id="2" xr3:uid="{50B0442A-D1E5-45D5-A8FD-394A52FF79B6}" name="A" dataDxfId="199"/>
    <tableColumn id="3" xr3:uid="{7EFC6C6B-7ABA-41CA-ABD0-9C8CCEDA6177}" name="1.1.1 Contenido no textual" dataDxfId="198"/>
    <tableColumn id="4" xr3:uid="{8D72FA17-AA06-4809-86A7-CC748FD2E5CA}" name="Resultado" dataDxfId="19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4" xr:uid="{889000B9-65D0-43FC-A72F-8AD394524F7A}" name="T1_2_1" displayName="T1_2_1" ref="A25:D29" totalsRowShown="0" headerRowBorderDxfId="192" tableBorderDxfId="193" totalsRowBorderDxfId="191">
  <tableColumns count="4">
    <tableColumn id="1" xr3:uid="{22DDA595-BBB9-4AAB-B284-7BA2D24C5117}" name="id" dataDxfId="33"/>
    <tableColumn id="2" xr3:uid="{54DEF104-4955-4B99-A3F4-1033FEFFFAC4}" name="A" dataDxfId="190"/>
    <tableColumn id="3" xr3:uid="{A7DBFCD3-EF2D-4255-8E8D-CC669F05250D}" name="1.2.1 Sólo audio y sólo vídeo (grabado)" dataDxfId="189"/>
    <tableColumn id="4" xr3:uid="{92B1E39D-822B-4C65-87A5-E1150605CCF9}" name="Resultado" dataDxfId="18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5" xr:uid="{B47F948B-8EAA-4280-846E-4E658B78C794}" name="T1_2_2" displayName="T1_2_2" ref="A32:D36" totalsRowShown="0" headerRowBorderDxfId="183" tableBorderDxfId="184" totalsRowBorderDxfId="182">
  <tableColumns count="4">
    <tableColumn id="1" xr3:uid="{901FA1E8-1FD6-4EFB-BA8F-FDB73B1091CB}" name="id" dataDxfId="32"/>
    <tableColumn id="2" xr3:uid="{D6F12EE2-CFB9-4CA4-981B-230F09A8539F}" name="A" dataDxfId="181"/>
    <tableColumn id="3" xr3:uid="{020428EF-AA9F-4377-8C59-EA84CC0161CA}" name="1.2.2 Subtítulos (grabados)" dataDxfId="180"/>
    <tableColumn id="4" xr3:uid="{55E34C85-F5BA-4398-AF65-38374D688B1F}" name="Resultado" dataDxfId="17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6" xr:uid="{F0B79B90-2783-41C7-B1A8-A2D28237583E}" name="T1_2_3" displayName="T1_2_3" ref="A39:D43" totalsRowShown="0" headerRowBorderDxfId="174" tableBorderDxfId="175" totalsRowBorderDxfId="173">
  <tableColumns count="4">
    <tableColumn id="1" xr3:uid="{D1B64A98-EAD2-4C0D-94B6-AD3F73D7AF81}" name="id" dataDxfId="31"/>
    <tableColumn id="2" xr3:uid="{1AAD852E-16F2-40FC-AA93-7F828A9175D0}" name="A" dataDxfId="172"/>
    <tableColumn id="3" xr3:uid="{F6173CBD-C7D9-4F24-8C16-353D66F7E1E5}" name="1.2.3 Audiodescripción o Medio Alternativo (grabado)" dataDxfId="171"/>
    <tableColumn id="4" xr3:uid="{673093F4-DBA9-4A63-991F-FCDA0DFEFE48}" name="Resultado" dataDxfId="17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7" xr:uid="{F279874A-C7A5-49C6-9C52-F24B4B1F63E2}" name="T1_2_4" displayName="T1_2_4" ref="A46:D50" totalsRowShown="0" headerRowBorderDxfId="165" tableBorderDxfId="166" totalsRowBorderDxfId="164">
  <tableColumns count="4">
    <tableColumn id="1" xr3:uid="{2C998A0E-1D29-4842-8A5E-3E24BDC32F2D}" name="id" dataDxfId="30"/>
    <tableColumn id="2" xr3:uid="{89220BBD-0E71-4E49-A965-B6B83246B10F}" name="AA" dataDxfId="163"/>
    <tableColumn id="3" xr3:uid="{7F33AA31-5521-4E63-BDEB-FF93CF66FC7A}" name="1.2.4 Subtítulos (en directo)" dataDxfId="162"/>
    <tableColumn id="4" xr3:uid="{928BC099-2357-4C4F-82C9-1F18B15F9087}" name="Resultado" dataDxfId="161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8" xr:uid="{4C64F52B-4B1B-4638-A1A3-D693DE372A1B}" name="T1_2_5" displayName="T1_2_5" ref="A53:D57" totalsRowShown="0" headerRowBorderDxfId="156" tableBorderDxfId="157" totalsRowBorderDxfId="155">
  <tableColumns count="4">
    <tableColumn id="1" xr3:uid="{69F2D443-67F4-44E7-9C60-4784B8365EB9}" name="id" dataDxfId="29"/>
    <tableColumn id="2" xr3:uid="{F3157176-C413-4E4C-A423-A6D60B0FC892}" name="AA" dataDxfId="154"/>
    <tableColumn id="3" xr3:uid="{D3D96E8C-8EA2-4168-9F46-F5B2AD4B6F2D}" name="1.2.5 Audiodescripción (grabado)" dataDxfId="153"/>
    <tableColumn id="4" xr3:uid="{4C7631E2-5CB4-4323-8230-92A8F3FA212D}" name="Resultado" dataDxfId="152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9" xr:uid="{46A75E42-DACE-4837-8CEF-E28626FAEAA8}" name="T1_3_1" displayName="T1_3_1" ref="A60:D64" totalsRowShown="0" headerRowBorderDxfId="147" tableBorderDxfId="148" totalsRowBorderDxfId="146">
  <tableColumns count="4">
    <tableColumn id="1" xr3:uid="{E6657EF3-CE01-4715-86F1-05F0DA109EB9}" name="id" dataDxfId="28"/>
    <tableColumn id="2" xr3:uid="{86075AEA-4BB2-4E4E-AD79-3656B2F4FD1B}" name="A" dataDxfId="145"/>
    <tableColumn id="3" xr3:uid="{8CF1A938-9674-4C55-994E-3F876AE32BEB}" name="1.3.1 Información y relaciones" dataDxfId="144"/>
    <tableColumn id="4" xr3:uid="{1449369F-9F8F-4A9D-B8CA-9257B085F0A6}" name="Resultado" dataDxfId="143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0" xr:uid="{4B0B2C46-2B86-45A0-9360-75E392D28D7B}" name="T1_3_2" displayName="T1_3_2" ref="A67:D71" totalsRowShown="0" headerRowBorderDxfId="138" tableBorderDxfId="139" totalsRowBorderDxfId="137">
  <tableColumns count="4">
    <tableColumn id="1" xr3:uid="{C3E6A567-B91C-4B3D-A572-9632BBB8BD4A}" name="id" dataDxfId="27"/>
    <tableColumn id="2" xr3:uid="{E1499C38-BFE2-4A8D-AACC-4E8C7CFDCB7D}" name="A" dataDxfId="136"/>
    <tableColumn id="3" xr3:uid="{F253D743-16B1-4FF9-B241-CF58F5A93FD3}" name="1.3.2 Secuencia significativa" dataDxfId="135"/>
    <tableColumn id="4" xr3:uid="{2685671B-72DE-49A6-B1C0-6BC4C64965FD}" name="Resultado" dataDxfId="134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1" xr:uid="{9273F532-7FDB-41D1-A17C-C0B2227D6921}" name="T1_3_3" displayName="T1_3_3" ref="A74:D78" totalsRowShown="0" headerRowBorderDxfId="129" tableBorderDxfId="130" totalsRowBorderDxfId="128">
  <tableColumns count="4">
    <tableColumn id="1" xr3:uid="{6BE103CA-561D-4094-B769-4AB04379EC0E}" name="id" dataDxfId="26"/>
    <tableColumn id="2" xr3:uid="{45B99C4B-95DD-4B47-BEB1-F36112FDE820}" name="A" dataDxfId="127"/>
    <tableColumn id="3" xr3:uid="{C5F20D44-C459-4978-98DD-53B7B5F97A68}" name="1.3.3 Características sensoriales" dataDxfId="126"/>
    <tableColumn id="4" xr3:uid="{85C1886A-481C-45E2-BF65-72A1DA4050DA}" name="Resultado" dataDxfId="125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2" xr:uid="{FE81DB9B-E2AA-417A-A681-93A6B35E03D5}" name="T1_3_4" displayName="T1_3_4" ref="A81:D85" totalsRowShown="0" headerRowBorderDxfId="120" tableBorderDxfId="121" totalsRowBorderDxfId="119">
  <tableColumns count="4">
    <tableColumn id="1" xr3:uid="{F4A99D5A-124C-4A55-B8A6-05ED544BD245}" name="id" dataDxfId="25"/>
    <tableColumn id="2" xr3:uid="{72974C0C-7F4E-456E-8328-6D9CAEC2CD69}" name="AA" dataDxfId="118"/>
    <tableColumn id="3" xr3:uid="{ABA9C7FB-CB54-4974-BE48-6226AC4DB08F}" name="1.3.4 Orientación" dataDxfId="117"/>
    <tableColumn id="4" xr3:uid="{3568F8AE-CA4F-4881-8D18-251CC582E7D0}" name="Resultado" dataDxfId="116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3" xr:uid="{604A3696-FC83-46AA-AA18-96438A1C14B1}" name="T1_3_5" displayName="T1_3_5" ref="A88:D92" totalsRowShown="0" headerRowBorderDxfId="111" tableBorderDxfId="112" totalsRowBorderDxfId="110">
  <tableColumns count="4">
    <tableColumn id="1" xr3:uid="{E2BC2393-29A3-4769-8980-CAE72A8E8BC9}" name="id" dataDxfId="24"/>
    <tableColumn id="2" xr3:uid="{DEB69ECE-72C6-4035-A602-1365701684BE}" name="AA" dataDxfId="109"/>
    <tableColumn id="3" xr3:uid="{A0508404-85BB-4C90-B16E-9BB3CECE9782}" name="1.3.5 Identificar el propósito de campo" dataDxfId="108"/>
    <tableColumn id="4" xr3:uid="{2180EC70-EB21-4B18-BACC-13F5904358A0}" name="Resultado" dataDxfId="107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4" xr:uid="{A8030EDC-877B-4587-8BFD-14B92372F3C1}" name="T1_4_1" displayName="T1_4_1" ref="A95:D99" totalsRowShown="0" headerRowBorderDxfId="102" tableBorderDxfId="103" totalsRowBorderDxfId="101">
  <tableColumns count="4">
    <tableColumn id="1" xr3:uid="{131E9138-45FB-429A-B620-168C24F3C6DE}" name="id" dataDxfId="23"/>
    <tableColumn id="2" xr3:uid="{278F73D8-5230-4E2B-9507-CD849D37913E}" name="A" dataDxfId="100"/>
    <tableColumn id="3" xr3:uid="{52E027FA-0D66-456F-9D36-F7CC06AFA4FB}" name="1.4.1 Uso del Color" dataDxfId="99"/>
    <tableColumn id="4" xr3:uid="{654188AD-4E43-49C2-AC8D-1C8EDD48BE1A}" name="Resultado" dataDxfId="98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5" xr:uid="{AF9AC61E-5BE8-4B96-8423-1FB8EDC2366A}" name="T1_4_2" displayName="T1_4_2" ref="A102:D106" totalsRowShown="0" headerRowBorderDxfId="93" tableBorderDxfId="94" totalsRowBorderDxfId="92">
  <tableColumns count="4">
    <tableColumn id="1" xr3:uid="{391E8C86-344F-4F31-9028-9192698E80B8}" name="id" dataDxfId="22"/>
    <tableColumn id="2" xr3:uid="{04DAB486-E0C7-42BC-B092-A2F31AAE4107}" name="A" dataDxfId="91"/>
    <tableColumn id="3" xr3:uid="{C56FB2C3-93EB-4B1B-B29F-91F43D375C2A}" name="1.4.2 Control del audio" dataDxfId="90"/>
    <tableColumn id="4" xr3:uid="{94A727FB-13F9-4A62-88F5-E338C2B9D1C1}" name="Resultado" dataDxfId="89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6" xr:uid="{1B04A51F-2CF3-4176-95A4-B470D8B2210F}" name="T1_4_3" displayName="T1_4_3" ref="A109:D113" totalsRowShown="0" headerRowBorderDxfId="84" tableBorderDxfId="85" totalsRowBorderDxfId="83">
  <tableColumns count="4">
    <tableColumn id="1" xr3:uid="{EF4BF7FD-4F02-48CE-9738-51EC4C545958}" name="id" dataDxfId="21"/>
    <tableColumn id="2" xr3:uid="{7DAA1798-5A0B-4612-A764-44DA9DFBF5AB}" name="AA" dataDxfId="82"/>
    <tableColumn id="3" xr3:uid="{28370406-C3DB-409B-9061-FBD219C3B859}" name="1.4.3 Contraste (mínimo)" dataDxfId="81"/>
    <tableColumn id="4" xr3:uid="{C821F7D4-10CA-4E41-8BDA-24ED57BD86A5}" name="Resultado" dataDxfId="80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7" xr:uid="{96631F67-A8EF-4148-8BE6-E4BCA949226B}" name="T1_4_4" displayName="T1_4_4" ref="A116:D120" totalsRowShown="0" headerRowBorderDxfId="75" tableBorderDxfId="76" totalsRowBorderDxfId="74">
  <tableColumns count="4">
    <tableColumn id="1" xr3:uid="{4231F023-071D-4822-B38E-A4460529E0A6}" name="id" dataDxfId="20"/>
    <tableColumn id="2" xr3:uid="{FBB02263-3789-42B0-8529-65BC92B17331}" name="AA" dataDxfId="73"/>
    <tableColumn id="3" xr3:uid="{9AF7BBBB-082D-438A-96E1-5CFCB1796002}" name="1.4.4 Redimensión del texto" dataDxfId="72"/>
    <tableColumn id="4" xr3:uid="{98D60E3F-AB61-482B-B7F6-5DEC7CB5370D}" name="Resultado" dataDxfId="71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8" xr:uid="{B7DB61BB-FE42-4EE1-8024-7266B425CAD9}" name="T1_4_5" displayName="T1_4_5" ref="A123:D127" totalsRowShown="0" headerRowBorderDxfId="66" tableBorderDxfId="67" totalsRowBorderDxfId="65">
  <tableColumns count="4">
    <tableColumn id="1" xr3:uid="{19EEA014-58CA-4970-A788-5E6F18BE16E4}" name="id" dataDxfId="19"/>
    <tableColumn id="2" xr3:uid="{09678BDA-BDA1-4D0B-B9F9-4CBC2DB3CA2E}" name="AA" dataDxfId="64"/>
    <tableColumn id="3" xr3:uid="{C3C0E685-A8F6-4C67-B5FB-7AA25EB336AE}" name="1.4.5 Imágenes de texto" dataDxfId="63"/>
    <tableColumn id="4" xr3:uid="{72266F0E-1212-487C-A7CD-A24BBF236BE1}" name="Resultado" dataDxfId="62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9" xr:uid="{1AF6E9A8-5EDE-4B73-A672-DC3B2F4887E2}" name="T1_4_10" displayName="T1_4_10" ref="A130:D134" totalsRowShown="0" headerRowBorderDxfId="57" tableBorderDxfId="58" totalsRowBorderDxfId="56">
  <tableColumns count="4">
    <tableColumn id="1" xr3:uid="{8E04DD62-A77A-4C08-98B8-57D72FD02163}" name="id" dataDxfId="18"/>
    <tableColumn id="2" xr3:uid="{B32CB514-0D92-4B98-8054-8711A8E86D2A}" name="AA" dataDxfId="55"/>
    <tableColumn id="3" xr3:uid="{0AE3C344-B139-4187-9ADD-0BEFF9CB775F}" name="1.4.10 Reflow" dataDxfId="54"/>
    <tableColumn id="4" xr3:uid="{65D5D20E-6EFE-4120-B5F9-AD21C9666D89}" name="Resultado" dataDxfId="53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0" xr:uid="{06C32231-34D2-4ABF-98A3-B7B8F3700DC3}" name="T1_4_11" displayName="T1_4_11" ref="A137:D141" totalsRowShown="0" headerRowBorderDxfId="48" tableBorderDxfId="49" totalsRowBorderDxfId="47">
  <tableColumns count="4">
    <tableColumn id="1" xr3:uid="{102C81B6-37F2-4AF1-8869-A1ED1A936085}" name="id" dataDxfId="17"/>
    <tableColumn id="2" xr3:uid="{759ACD6A-774C-40B2-AA24-CAC93CFE0753}" name="AA" dataDxfId="46"/>
    <tableColumn id="3" xr3:uid="{3380EA6D-02B2-46D2-88DF-B99A5747331F}" name="1.4.11 Contraste en elementos no textuales" dataDxfId="45"/>
    <tableColumn id="4" xr3:uid="{BAA5148F-6B5F-49F0-A69B-7774512D78C6}" name="Resultado" dataDxfId="44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1" xr:uid="{78466ED2-D393-4642-859C-E0592F630521}" name="T1_4_12" displayName="T1_4_12" ref="A144:D148" totalsRowShown="0" headerRowBorderDxfId="39" tableBorderDxfId="40" totalsRowBorderDxfId="38">
  <tableColumns count="4">
    <tableColumn id="1" xr3:uid="{34FEF2FB-8F84-485C-8A4B-F9D27F928032}" name="id" dataDxfId="16"/>
    <tableColumn id="2" xr3:uid="{FA4E0AE5-62F3-4627-83DC-AA14E019D1DA}" name="AA" dataDxfId="37"/>
    <tableColumn id="3" xr3:uid="{4E353E0C-9C3C-4C47-B2B9-2828C0D3F1E3}" name="1.4.12 Espaciado en el texto" dataDxfId="36"/>
    <tableColumn id="4" xr3:uid="{FD559503-34BF-4585-8268-E9C023BA0CA3}" name="Resultado" dataDxfId="35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2" xr:uid="{AF44FEFC-0CDD-4431-9A5D-73EC5C2B56F6}" name="T1_4_13" displayName="T1_4_13" ref="A151:D155" totalsRowShown="0" headerRowBorderDxfId="11" tableBorderDxfId="12" totalsRowBorderDxfId="10">
  <tableColumns count="4">
    <tableColumn id="1" xr3:uid="{F3F291A6-E6CD-4FB3-A582-BF8463740235}" name="id" dataDxfId="9"/>
    <tableColumn id="2" xr3:uid="{C2F6D9CF-E7A1-4115-8902-4337D5CAB8E5}" name="AA" dataDxfId="8"/>
    <tableColumn id="3" xr3:uid="{85FEFF96-E346-4A6B-B98E-BACB643AC74B}" name="1.4.13 Contenido en over o focus" dataDxfId="7"/>
    <tableColumn id="4" xr3:uid="{CD4C4934-45AF-4326-BC21-9E3382F3DC22}" name="Resultado" dataDxfId="6"/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6" xr:uid="{8047C810-6168-45E6-BAD4-BC37B9311345}" name="T2_1_1" displayName="T2_1_1" ref="A18:D22" totalsRowShown="0" headerRowBorderDxfId="371" tableBorderDxfId="372" totalsRowBorderDxfId="370">
  <tableColumns count="4">
    <tableColumn id="1" xr3:uid="{1FD89D87-09FA-474E-8EDC-FC4F28BEF8E6}" name="id" dataDxfId="231"/>
    <tableColumn id="2" xr3:uid="{C09220C4-6825-4EAB-A214-F9144080E35F}" name="A" dataDxfId="369"/>
    <tableColumn id="3" xr3:uid="{137131B9-86DC-469C-ABB7-550C0DC75F1E}" name="2.1.1 Teclado" dataDxfId="368"/>
    <tableColumn id="4" xr3:uid="{E2F8D69B-6115-4AB8-8030-013A600A1E6E}" name="Resultado" dataDxfId="367"/>
  </tableColumns>
  <tableStyleInfo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7" xr:uid="{E196587D-9829-47A3-889A-D6360A0EAD1D}" name="T2_1_2" displayName="T2_1_2" ref="A25:D29" totalsRowShown="0" headerRowBorderDxfId="362" tableBorderDxfId="363" totalsRowBorderDxfId="361">
  <tableColumns count="4">
    <tableColumn id="1" xr3:uid="{F802AF6B-7C3D-46C7-8DA6-EAD08628CBE5}" name="id" dataDxfId="230"/>
    <tableColumn id="2" xr3:uid="{6D7F9550-5048-48E3-8167-72FD708E92C4}" name="A" dataDxfId="360"/>
    <tableColumn id="3" xr3:uid="{AD4BC758-6F30-4591-B00B-2FF98043D79F}" name="2.1.2 Sin trampas para el foco del teclado" dataDxfId="359"/>
    <tableColumn id="4" xr3:uid="{ABBFFE48-A6C8-4812-A003-66EEE66D29E6}" name="Resultado" dataDxfId="358"/>
  </tableColumns>
  <tableStyleInfo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8" xr:uid="{DD8BE21A-CE9F-48A0-9D3C-83C05F8BB568}" name="T2_1_4" displayName="T2_1_4" ref="A32:D36" totalsRowShown="0" headerRowBorderDxfId="353" tableBorderDxfId="354" totalsRowBorderDxfId="352">
  <tableColumns count="4">
    <tableColumn id="1" xr3:uid="{B426DFDC-9256-4280-9E8C-D6E8292BBFC1}" name="id" dataDxfId="229"/>
    <tableColumn id="2" xr3:uid="{87FECE07-74D0-4B2B-9042-38EA395D1408}" name="A" dataDxfId="351"/>
    <tableColumn id="3" xr3:uid="{19A088C5-C1F5-4573-B756-819D30CEEBC6}" name="2.1.4  Atajos con teclas de caracteres" dataDxfId="350"/>
    <tableColumn id="4" xr3:uid="{2670EB1E-84B0-475E-B450-66F36C9E900B}" name="Resultado" dataDxfId="349"/>
  </tableColumns>
  <tableStyleInfo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9" xr:uid="{02510E3A-E2CF-4259-923D-5672FE662637}" name="T2_2_1" displayName="T2_2_1" ref="A39:D43" totalsRowShown="0" headerRowBorderDxfId="344" tableBorderDxfId="345" totalsRowBorderDxfId="343">
  <tableColumns count="4">
    <tableColumn id="1" xr3:uid="{D3182809-483D-4EF9-A60C-7D29CD6A6995}" name="id" dataDxfId="228"/>
    <tableColumn id="2" xr3:uid="{60AFD966-F92D-4C3D-A380-4E4054E8F177}" name="A" dataDxfId="342"/>
    <tableColumn id="3" xr3:uid="{96BC26BF-1D29-42F8-A6B7-1B19428BD3EC}" name="2.2.1 Tiempo ajustable" dataDxfId="341"/>
    <tableColumn id="4" xr3:uid="{9546BE38-9615-4A35-8BF1-2C2CE7322856}" name="Resultado" dataDxfId="340"/>
  </tableColumns>
  <tableStyleInfo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0" xr:uid="{C33D5605-D394-471A-A732-BA6E4B44258E}" name="T2_2_2" displayName="T2_2_2" ref="A46:D50" totalsRowShown="0" headerRowBorderDxfId="335" tableBorderDxfId="336" totalsRowBorderDxfId="334">
  <tableColumns count="4">
    <tableColumn id="1" xr3:uid="{D0E837EE-F742-49FD-8172-4BFBC652323F}" name="id" dataDxfId="227"/>
    <tableColumn id="2" xr3:uid="{DB0B9959-3728-409F-988A-C86008BF461F}" name="A" dataDxfId="333"/>
    <tableColumn id="3" xr3:uid="{54FC4884-220A-4E5D-AACD-3932B7304167}" name="2.2.2 Poner en pausa, detener, ocultar" dataDxfId="332"/>
    <tableColumn id="4" xr3:uid="{B64BBCD9-0AD3-46FD-AB4C-0D3930680705}" name="Resultado" dataDxfId="331"/>
  </tableColumns>
  <tableStyleInfo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1" xr:uid="{EAE71A96-0968-4542-813A-538B0C038180}" name="T2_3_1" displayName="T2_3_1" ref="A53:D57" totalsRowShown="0" headerRowBorderDxfId="326" tableBorderDxfId="327" totalsRowBorderDxfId="325">
  <tableColumns count="4">
    <tableColumn id="1" xr3:uid="{13E95B7D-438E-409D-B2FB-CCA37FA62069}" name="id" dataDxfId="226"/>
    <tableColumn id="2" xr3:uid="{BF1089B3-D30C-4871-9F5A-A24D1C7D35EA}" name="A" dataDxfId="324"/>
    <tableColumn id="3" xr3:uid="{80A855C7-3984-4EA4-8B30-9271F5E26955}" name="2.3.1 Umbral de tres destellos o menos" dataDxfId="323"/>
    <tableColumn id="4" xr3:uid="{06ACB2AB-E4E7-4567-8075-946DFF514E57}" name="Resultado" dataDxfId="322"/>
  </tableColumns>
  <tableStyleInfo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2" xr:uid="{B22EE2EB-51DE-417A-88C6-9F3A6A702C33}" name="T2_4_1" displayName="T2_4_1" ref="A60:D64" totalsRowShown="0" headerRowBorderDxfId="317" tableBorderDxfId="318" totalsRowBorderDxfId="316">
  <tableColumns count="4">
    <tableColumn id="1" xr3:uid="{D92A2AF3-228A-4BCB-B094-18A6C1317E86}" name="id" dataDxfId="225"/>
    <tableColumn id="2" xr3:uid="{5D078539-2ACC-49A2-8090-979B8C1E689F}" name="A" dataDxfId="315"/>
    <tableColumn id="3" xr3:uid="{07509A6D-D315-4712-93AE-E0DEE610E956}" name="2.4.1 Evitar bloques" dataDxfId="314"/>
    <tableColumn id="4" xr3:uid="{AC0776E1-FF32-4E9A-B7C1-1E62F5A03091}" name="Resultado" dataDxfId="313"/>
  </tableColumns>
  <tableStyleInfo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3" xr:uid="{1809A34B-A61E-4B9C-AC98-CECB51BF274E}" name="T2_4_2" displayName="T2_4_2" ref="A67:D71" totalsRowShown="0" headerRowBorderDxfId="308" tableBorderDxfId="309" totalsRowBorderDxfId="307">
  <tableColumns count="4">
    <tableColumn id="1" xr3:uid="{AF3E9925-44CB-4504-9B90-86457AFD48DC}" name="id" dataDxfId="224"/>
    <tableColumn id="2" xr3:uid="{10202B8B-B645-4859-861A-AEF2C54C8BF9}" name="A" dataDxfId="306"/>
    <tableColumn id="3" xr3:uid="{A5A9039B-2B78-47BC-8B35-7B11065B7C88}" name="2.4.2 Titulado de páginas" dataDxfId="305"/>
    <tableColumn id="4" xr3:uid="{DBEDD684-0B7E-4B70-B03F-29973644A062}" name="Resultado" dataDxfId="304"/>
  </tableColumns>
  <tableStyleInfo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4" xr:uid="{AE1057FA-9EB0-4299-8A94-974F0D44AC66}" name="T2_4_3" displayName="T2_4_3" ref="A74:D78" totalsRowShown="0" headerRowBorderDxfId="299" tableBorderDxfId="300" totalsRowBorderDxfId="298">
  <tableColumns count="4">
    <tableColumn id="1" xr3:uid="{7E4B6553-482D-4F7B-857F-F490F5EC6F26}" name="id" dataDxfId="223"/>
    <tableColumn id="2" xr3:uid="{6AC1EF3E-A574-45E7-A1E4-A8E5647D27BF}" name="A" dataDxfId="297"/>
    <tableColumn id="3" xr3:uid="{F60D1633-EDB3-444F-98DB-F470EFE28F3E}" name="2.4.3 Orden del foco" dataDxfId="296"/>
    <tableColumn id="4" xr3:uid="{CA3507E7-0D7E-4051-B2F4-4EAE6C773C86}" name="Resultado" dataDxfId="295"/>
  </tableColumns>
  <tableStyleInfo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5" xr:uid="{6D77A702-96CA-4FF5-86C0-0A0ADA398D93}" name="T2_4_4" displayName="T2_4_4" ref="A81:D85" totalsRowShown="0" headerRowBorderDxfId="290" tableBorderDxfId="291" totalsRowBorderDxfId="289">
  <tableColumns count="4">
    <tableColumn id="1" xr3:uid="{94A4C8DD-C57E-461A-98FE-8564DDFF7198}" name="id" dataDxfId="222"/>
    <tableColumn id="2" xr3:uid="{4091EA38-30B3-4F41-96DF-E6477F94A80A}" name="A" dataDxfId="288"/>
    <tableColumn id="3" xr3:uid="{F8FE413F-69FF-4B09-BBF5-ACB04A37CD45}" name="2.4.4 Propósito de los enlaces (en contexto)" dataDxfId="287"/>
    <tableColumn id="4" xr3:uid="{383DA18C-D603-47E7-8F12-88BC15527565}" name="Resultado" dataDxfId="286"/>
  </tableColumns>
  <tableStyleInfo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6" xr:uid="{641B99FD-7FDC-478D-965D-A1F44DED7FF3}" name="T2_4_5" displayName="T2_4_5" ref="A88:D92" totalsRowShown="0" headerRowBorderDxfId="281" tableBorderDxfId="282" totalsRowBorderDxfId="280">
  <tableColumns count="4">
    <tableColumn id="1" xr3:uid="{A652F0D8-AF6E-400F-8BD4-3A2545B45D8C}" name="id" dataDxfId="221"/>
    <tableColumn id="2" xr3:uid="{9E8C206C-B643-4B62-A242-F885CF0801D5}" name="AA" dataDxfId="279"/>
    <tableColumn id="3" xr3:uid="{031094B6-97A4-4127-917C-4C1E0FEC1B15}" name="2.4.5 Múltiples vías" dataDxfId="278"/>
    <tableColumn id="4" xr3:uid="{ADC37C64-A019-4388-98B1-B672073D9ACA}" name="Resultado" dataDxfId="277"/>
  </tableColumns>
  <tableStyleInfo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7" xr:uid="{0B2720FF-A36F-49F8-9B61-882BC0CE805A}" name="T2_4_6" displayName="T2_4_6" ref="A95:D99" totalsRowShown="0" headerRowBorderDxfId="272" tableBorderDxfId="273" totalsRowBorderDxfId="271">
  <tableColumns count="4">
    <tableColumn id="1" xr3:uid="{7AB10E03-011B-4422-B05D-82DDA40BC7FF}" name="id" dataDxfId="220"/>
    <tableColumn id="2" xr3:uid="{2F088320-E810-4839-A32E-D0C2AC049ADC}" name="AA" dataDxfId="270"/>
    <tableColumn id="3" xr3:uid="{10635CA0-4B39-4053-9F3A-4D23D1323CC3}" name="2.4.6 Encabezados y etiquetas" dataDxfId="269"/>
    <tableColumn id="4" xr3:uid="{EF6856D2-12AA-43EC-9590-20989C3B311F}" name="Resultado" dataDxfId="268"/>
  </tableColumns>
  <tableStyleInfo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8" xr:uid="{21BE6A97-38C1-4BA2-90BA-5F48F7F1EDE7}" name="T2_4_7" displayName="T2_4_7" ref="A102:D106" totalsRowShown="0" headerRowBorderDxfId="263" tableBorderDxfId="264" totalsRowBorderDxfId="262">
  <tableColumns count="4">
    <tableColumn id="1" xr3:uid="{F5285C55-E619-49DD-9BF2-1336C588450B}" name="id" dataDxfId="219"/>
    <tableColumn id="2" xr3:uid="{D40BDD7D-E522-44B0-92E1-E5A840EA80C3}" name="AA" dataDxfId="261"/>
    <tableColumn id="3" xr3:uid="{DB703C42-28E9-49E1-A8CB-995444B5B3CB}" name="2.4.7 Foco visible" dataDxfId="260"/>
    <tableColumn id="4" xr3:uid="{7B50F98C-A18A-4512-9197-0F67E5601216}" name="Resultado" dataDxfId="259"/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9" xr:uid="{C0F95EB7-B251-49BD-BC8C-8F3A6A7D87A6}" name="T2_5_1" displayName="T2_5_1" ref="A109:D113" totalsRowShown="0" headerRowBorderDxfId="254" tableBorderDxfId="255" totalsRowBorderDxfId="253">
  <tableColumns count="4">
    <tableColumn id="1" xr3:uid="{21A8CB5B-1CF9-41B5-8E66-E1EC0E3857B8}" name="id" dataDxfId="218"/>
    <tableColumn id="2" xr3:uid="{21271A2F-7BC0-4BA6-94A6-A7A5345515D7}" name="A" dataDxfId="252"/>
    <tableColumn id="3" xr3:uid="{5F7E3B4D-EC51-4F61-A39A-981E21BCE6FC}" name="2.5.1 Gestos del puntero" dataDxfId="251"/>
    <tableColumn id="4" xr3:uid="{C8E58BED-B3D9-4B6D-814F-1416B37797C7}" name="Resultado" dataDxfId="250"/>
  </tableColumns>
  <tableStyleInfo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0" xr:uid="{82AD3D3A-AEA3-4C0E-A715-872BCE2B289D}" name="T2_5_2" displayName="T2_5_2" ref="A116:D120" totalsRowShown="0" headerRowBorderDxfId="245" tableBorderDxfId="246" totalsRowBorderDxfId="244">
  <tableColumns count="4">
    <tableColumn id="1" xr3:uid="{4F9839BA-9689-4AF2-8F63-6850E345FC47}" name="id" dataDxfId="217"/>
    <tableColumn id="2" xr3:uid="{85FB77C4-AE0E-439D-8690-E9C06D8D1480}" name="A" dataDxfId="243"/>
    <tableColumn id="3" xr3:uid="{53AC7544-CFD3-4A74-AF84-BD4A93CAA21A}" name="2.5.2 Cancelación del puntero" dataDxfId="242"/>
    <tableColumn id="4" xr3:uid="{3A40DD93-47E0-484B-9B1B-DE4FF522D020}" name="Resultado" dataDxfId="241"/>
  </tableColumns>
  <tableStyleInfo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1" xr:uid="{BED5F3DE-A66A-4EA1-9C01-E4B74C617CB6}" name="T2_5_3" displayName="T2_5_3" ref="A123:D127" totalsRowShown="0" headerRowBorderDxfId="236" tableBorderDxfId="237" totalsRowBorderDxfId="235">
  <tableColumns count="4">
    <tableColumn id="1" xr3:uid="{E84DB546-CF4C-4925-8F00-78D76EA2106E}" name="id" dataDxfId="216"/>
    <tableColumn id="2" xr3:uid="{D12F2654-5863-47A9-AFE8-9CB5270492ED}" name="A" dataDxfId="234"/>
    <tableColumn id="3" xr3:uid="{1B659518-2BF7-4A9E-9330-C80C759510CB}" name="2.5.3 Etiqueta en el nombre" dataDxfId="233"/>
    <tableColumn id="4" xr3:uid="{3B91AD4B-099E-475D-A044-2FB082E31D33}" name="Resultado" dataDxfId="232"/>
  </tableColumns>
  <tableStyleInfo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2" xr:uid="{575520F7-BDD5-4E1D-9CA3-949D994A412A}" name="T2_5_4_" displayName="T2_5_4_" ref="A130:D134" totalsRowShown="0" headerRowBorderDxfId="211" tableBorderDxfId="212" totalsRowBorderDxfId="210">
  <tableColumns count="4">
    <tableColumn id="1" xr3:uid="{FF5EB240-5E02-459A-91BF-DA209F089D8E}" name="id" dataDxfId="209"/>
    <tableColumn id="2" xr3:uid="{C8DB258D-D0B1-423E-AC1D-4CF210999607}" name="A" dataDxfId="208"/>
    <tableColumn id="3" xr3:uid="{E331B515-86AE-4DAE-822B-88A942D5A79E}" name="2.5.4. Activación mediante movimiento" dataDxfId="207"/>
    <tableColumn id="4" xr3:uid="{F24E905E-4140-4BB6-B720-9105667EEB74}" name="Resultado" dataDxfId="206"/>
  </tableColumns>
  <tableStyleInfo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6" xr:uid="{27823565-D900-43B2-BD2B-9D8A748931A0}" name="T3_1_1" displayName="T3_1_1" ref="A18:D22" totalsRowShown="0" headerRowBorderDxfId="471" tableBorderDxfId="472" totalsRowBorderDxfId="470">
  <tableColumns count="4">
    <tableColumn id="1" xr3:uid="{FA4A6EC9-AECD-4A43-937B-831F8BBF4271}" name="id" dataDxfId="394"/>
    <tableColumn id="2" xr3:uid="{CEE8E211-AA51-452D-B374-971291E3E808}" name="A" dataDxfId="469"/>
    <tableColumn id="3" xr3:uid="{42444DD6-3E21-4B88-A03B-91CCAB7A58A6}" name="3.1.1 Idioma de la página" dataDxfId="468"/>
    <tableColumn id="4" xr3:uid="{B7C8B676-9B4E-4224-802A-1FD85961D385}" name="Resultado" dataDxfId="467"/>
  </tableColumns>
  <tableStyleInfo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7" xr:uid="{1861E6D8-894D-4D12-8D5B-3AEC7E71E0AE}" name="T3_1_2" displayName="T3_1_2" ref="A25:D29" totalsRowShown="0" headerRowBorderDxfId="462" tableBorderDxfId="463" totalsRowBorderDxfId="461">
  <tableColumns count="4">
    <tableColumn id="1" xr3:uid="{78DE48AF-4FE1-43FB-B6D7-986CEC48B191}" name="id" dataDxfId="393"/>
    <tableColumn id="2" xr3:uid="{D079F39B-B8CE-4B5E-AB26-CAFE52E9291E}" name="AA" dataDxfId="460"/>
    <tableColumn id="3" xr3:uid="{557897B1-751D-4A26-A3E6-64DE97F0B99E}" name="3.1.2 Idioma de las partes" dataDxfId="459"/>
    <tableColumn id="4" xr3:uid="{798B31B6-C7BD-44C1-981C-91772A4D877A}" name="Resultado" dataDxfId="458"/>
  </tableColumns>
  <tableStyleInfo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8" xr:uid="{3FEF6934-2B26-4423-8289-03280E3606E9}" name="T3_2_1" displayName="T3_2_1" ref="A32:D36" totalsRowShown="0" headerRowBorderDxfId="453" tableBorderDxfId="454" totalsRowBorderDxfId="452">
  <tableColumns count="4">
    <tableColumn id="1" xr3:uid="{711FE083-1ADE-4B49-857C-C4350859FFC1}" name="id" dataDxfId="392"/>
    <tableColumn id="2" xr3:uid="{58C6EA64-D2F4-45C3-9CE3-051A14F1279D}" name="A" dataDxfId="451"/>
    <tableColumn id="3" xr3:uid="{041D296A-87EC-4C23-B42F-9238AA525415}" name="3.2.1 Al recibir el foco" dataDxfId="450"/>
    <tableColumn id="4" xr3:uid="{28A58A9E-9C11-48BE-911E-95D244BED5DD}" name="Resultado" dataDxfId="449"/>
  </tableColumns>
  <tableStyleInfo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9" xr:uid="{FA24FF03-2862-4E5C-8F34-C5BDA45507D5}" name="T3_2_2" displayName="T3_2_2" ref="A39:D43" totalsRowShown="0" headerRowBorderDxfId="444" tableBorderDxfId="445" totalsRowBorderDxfId="443">
  <tableColumns count="4">
    <tableColumn id="1" xr3:uid="{B4E3F2FC-BD3C-4C68-854B-932694A86349}" name="id" dataDxfId="391"/>
    <tableColumn id="2" xr3:uid="{A1D00AC9-B300-40E1-B47D-19EE7C7928AA}" name="A" dataDxfId="442"/>
    <tableColumn id="3" xr3:uid="{CBC3079A-8C79-4C2F-AC4E-1405EF21635B}" name="3.2.2 Al recibir entradas" dataDxfId="441"/>
    <tableColumn id="4" xr3:uid="{66FC653B-B19E-4992-A57F-585B98EE4DCF}" name="Resultado" dataDxfId="440"/>
  </tableColumns>
  <tableStyleInfo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0" xr:uid="{F8051C32-D5EA-4B45-9C8F-A61B662D5F96}" name="T3_2_3" displayName="T3_2_3" ref="A46:D50" totalsRowShown="0" headerRowBorderDxfId="435" tableBorderDxfId="436" totalsRowBorderDxfId="434">
  <tableColumns count="4">
    <tableColumn id="1" xr3:uid="{9E070F7F-34F9-41DE-915B-B7B3AFFD0E62}" name="id" dataDxfId="390"/>
    <tableColumn id="2" xr3:uid="{CE7CAA28-E1CF-4628-8452-FFF6505AFE0D}" name="AA" dataDxfId="433"/>
    <tableColumn id="3" xr3:uid="{0FFA50AA-73E9-46FB-B428-182A9BEA5267}" name="3.2.3 Navegación coherente" dataDxfId="432"/>
    <tableColumn id="4" xr3:uid="{F8311BFA-23B0-4BE5-8C03-A4FAD820B788}" name="Resultado" dataDxfId="431"/>
  </tableColumns>
  <tableStyleInfo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1" xr:uid="{2DCFB57D-3A6A-4E1B-BDFB-1FBC67722480}" name="T3_2_4" displayName="T3_2_4" ref="A53:D57" totalsRowShown="0" headerRowBorderDxfId="426" tableBorderDxfId="427" totalsRowBorderDxfId="425">
  <tableColumns count="4">
    <tableColumn id="1" xr3:uid="{AFA5EA82-7B61-4410-8F8F-9DD940225CD4}" name="id" dataDxfId="389"/>
    <tableColumn id="2" xr3:uid="{73AC205F-D053-4543-8A5C-CD00BD537D2E}" name="AA" dataDxfId="424"/>
    <tableColumn id="3" xr3:uid="{B3F2A485-C38D-46E5-80D6-F8CA97D0F767}" name="3.2.4 Identificación coherente" dataDxfId="423"/>
    <tableColumn id="4" xr3:uid="{180DB34F-B13E-40BD-9692-200C4E13CC21}" name="Resultado" dataDxfId="422"/>
  </tableColumns>
  <tableStyleInfo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2" xr:uid="{171953E4-973F-44F2-88CD-AED923F88594}" name="T3_3_1" displayName="T3_3_1" ref="A60:D64" totalsRowShown="0" headerRowBorderDxfId="417" tableBorderDxfId="418" totalsRowBorderDxfId="416">
  <tableColumns count="4">
    <tableColumn id="1" xr3:uid="{47EF0248-623B-449B-8B92-5C78283671DD}" name="id" dataDxfId="388"/>
    <tableColumn id="2" xr3:uid="{83D88A7E-3BCB-4973-8EC6-AF796AD4CA6A}" name="A" dataDxfId="415"/>
    <tableColumn id="3" xr3:uid="{4410EA03-C997-439F-8A95-4CFAC46736EA}" name="3.3.1 Identificación de errores" dataDxfId="414"/>
    <tableColumn id="4" xr3:uid="{38EAA9B1-4015-4389-B91D-6571FC1FC348}" name="Resultado" dataDxfId="413"/>
  </tableColumns>
  <tableStyleInfo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3" xr:uid="{CAF50D95-B98A-4588-A0E4-AE7B34B1079C}" name="T3_3_2" displayName="T3_3_2" ref="A67:D71" totalsRowShown="0" headerRowBorderDxfId="408" tableBorderDxfId="409" totalsRowBorderDxfId="407">
  <tableColumns count="4">
    <tableColumn id="1" xr3:uid="{773EF874-E1DF-48D8-BBE3-2E48226A9094}" name="id" dataDxfId="387"/>
    <tableColumn id="2" xr3:uid="{EB5EF401-AD4E-41FD-995C-1981353B8AA2}" name="A" dataDxfId="406"/>
    <tableColumn id="3" xr3:uid="{93FDE55F-FD78-4908-8FC5-85F898A58F1F}" name="3.3.2 Etiquetas o instrucciones" dataDxfId="405"/>
    <tableColumn id="4" xr3:uid="{BA434B0B-DE10-40C2-8E0B-151341681104}" name="Resultado" dataDxfId="404"/>
  </tableColumns>
  <tableStyleInfo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4" xr:uid="{91A2FCB1-402C-43CF-A93A-66E2AA288F30}" name="T3_3_3" displayName="T3_3_3" ref="A74:D78" totalsRowShown="0" headerRowBorderDxfId="399" tableBorderDxfId="400" totalsRowBorderDxfId="398">
  <tableColumns count="4">
    <tableColumn id="1" xr3:uid="{0665FDBD-3E1A-4AD3-B6D4-9F78A951FF65}" name="id" dataDxfId="386"/>
    <tableColumn id="2" xr3:uid="{6DFECDB4-C949-4172-9A5A-8D78B113AD10}" name="AA" dataDxfId="397"/>
    <tableColumn id="3" xr3:uid="{B7B15E24-9FAE-4A62-BCC1-E510FA1E3C99}" name="3.3.3 Sugerencias ante errores" dataDxfId="396"/>
    <tableColumn id="4" xr3:uid="{080929B3-3B22-4548-BC35-E7E290087620}" name="Resultado" dataDxfId="395"/>
  </tableColumns>
  <tableStyleInfo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5" xr:uid="{6E58337E-69BF-49F1-8B88-51F5714CF561}" name="T3_3_4" displayName="T3_3_4" ref="A81:D85" totalsRowShown="0" headerRowBorderDxfId="381" tableBorderDxfId="382" totalsRowBorderDxfId="380">
  <tableColumns count="4">
    <tableColumn id="1" xr3:uid="{01175943-2BE7-4764-BE47-0F42E9DFFE93}" name="id" dataDxfId="379"/>
    <tableColumn id="2" xr3:uid="{D12E0CC0-9608-463C-851D-C3498AD3E657}" name="AA" dataDxfId="378"/>
    <tableColumn id="3" xr3:uid="{29088B33-5AF8-445A-BFC3-8E82833C87A0}" name="3.3.4 Prevención de errores (legales, financieros, datos)" dataDxfId="377"/>
    <tableColumn id="4" xr3:uid="{D9B8EA9B-0E80-450E-A386-FA3B718E9F5C}" name="Resultado" dataDxfId="376"/>
  </tableColumns>
  <tableStyleInfo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3" xr:uid="{DAD10F47-278B-40E9-8AB0-6890B9A76951}" name="T4_1_1" displayName="T4_1_1" ref="A18:D22" totalsRowShown="0" headerRowBorderDxfId="501" tableBorderDxfId="502" totalsRowBorderDxfId="500">
  <tableColumns count="4">
    <tableColumn id="1" xr3:uid="{87B205E1-A830-4AA3-9CFC-5B64E1312CF1}" name="id" dataDxfId="487"/>
    <tableColumn id="2" xr3:uid="{BE1FF81E-81CF-46E9-98B2-A399AF98188E}" name="A" dataDxfId="499"/>
    <tableColumn id="3" xr3:uid="{D69592DC-C747-4651-A498-2869018D41B6}" name="4.1.1 Procesamiento" dataDxfId="498"/>
    <tableColumn id="4" xr3:uid="{1C1EE873-D343-49D0-939A-6CADD3C25493}" name="Resultado" dataDxfId="497"/>
  </tableColumns>
  <tableStyleInfo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4" xr:uid="{D1A1F1FC-CF9E-4F4C-9764-D2880D8BC9BE}" name="T4_1_2" displayName="T4_1_2" ref="A25:D29" totalsRowShown="0" headerRowBorderDxfId="492" tableBorderDxfId="493" totalsRowBorderDxfId="491">
  <tableColumns count="4">
    <tableColumn id="1" xr3:uid="{A488B2B3-A3FD-458E-B2AE-81DFFFB60E59}" name="id" dataDxfId="486"/>
    <tableColumn id="2" xr3:uid="{40E5CA2C-76EE-499C-B1CC-FEB5F3A76577}" name="A" dataDxfId="490"/>
    <tableColumn id="3" xr3:uid="{47947FD1-859D-4AEA-9967-31C3A83F30C8}" name="4.1.2 Nombre, función, valor" dataDxfId="489"/>
    <tableColumn id="4" xr3:uid="{C970D7D8-05D6-4981-A5E2-083D87C09DF2}" name="Resultado" dataDxfId="488"/>
  </tableColumns>
  <tableStyleInfo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5" xr:uid="{EA705C29-86DB-4ABC-AC05-35F393FAF683}" name="T4_1_3" displayName="T4_1_3" ref="A32:D36" totalsRowShown="0" headerRowBorderDxfId="481" tableBorderDxfId="482" totalsRowBorderDxfId="480">
  <tableColumns count="4">
    <tableColumn id="1" xr3:uid="{33D95CD9-9730-40B6-AAF1-9D1B1A69BCFB}" name="id" dataDxfId="479"/>
    <tableColumn id="2" xr3:uid="{E9D2DA42-FE3A-464B-9651-221670CE32D7}" name="AA" dataDxfId="478"/>
    <tableColumn id="3" xr3:uid="{B3B0A932-2462-4AC4-80AC-A060D749597F}" name="4.1.3 Mensajes de estado" dataDxfId="477"/>
    <tableColumn id="4" xr3:uid="{8EAD8CC0-BC39-4E89-A316-98A69E1EA153}" name="Resultado" dataDxfId="476"/>
  </tableColumns>
  <tableStyleInfo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CF851D7-92EF-40C7-A95D-FA2D115B7A23}" name="EntradasValidas" displayName="EntradasValidas" ref="A1:A5" totalsRowShown="0">
  <autoFilter ref="A1:A5" xr:uid="{ACF851D7-92EF-40C7-A95D-FA2D115B7A23}"/>
  <tableColumns count="1">
    <tableColumn id="1" xr3:uid="{21BDE41D-6384-4014-BAB5-2969BAD8A7F0}" name="Columna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://www.inicio.com/contacto/legal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www.inicio.com/contacto" TargetMode="External"/><Relationship Id="rId1" Type="http://schemas.openxmlformats.org/officeDocument/2006/relationships/hyperlink" Target="http://www.inicio.com/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openxmlformats.org/officeDocument/2006/relationships/table" Target="../tables/table1.xml"/><Relationship Id="rId4" Type="http://schemas.openxmlformats.org/officeDocument/2006/relationships/hyperlink" Target="http://www.inicio.com/contacto/accesibilidad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13" Type="http://schemas.openxmlformats.org/officeDocument/2006/relationships/table" Target="../tables/table14.xml"/><Relationship Id="rId18" Type="http://schemas.openxmlformats.org/officeDocument/2006/relationships/table" Target="../tables/table1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" Type="http://schemas.openxmlformats.org/officeDocument/2006/relationships/table" Target="../tables/table3.xml"/><Relationship Id="rId16" Type="http://schemas.openxmlformats.org/officeDocument/2006/relationships/table" Target="../tables/table17.xml"/><Relationship Id="rId20" Type="http://schemas.openxmlformats.org/officeDocument/2006/relationships/table" Target="../tables/table21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5" Type="http://schemas.openxmlformats.org/officeDocument/2006/relationships/table" Target="../tables/table16.xml"/><Relationship Id="rId10" Type="http://schemas.openxmlformats.org/officeDocument/2006/relationships/table" Target="../tables/table11.xml"/><Relationship Id="rId19" Type="http://schemas.openxmlformats.org/officeDocument/2006/relationships/table" Target="../tables/table20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4" Type="http://schemas.openxmlformats.org/officeDocument/2006/relationships/table" Target="../tables/table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9.xml"/><Relationship Id="rId13" Type="http://schemas.openxmlformats.org/officeDocument/2006/relationships/table" Target="../tables/table34.xml"/><Relationship Id="rId3" Type="http://schemas.openxmlformats.org/officeDocument/2006/relationships/table" Target="../tables/table24.xml"/><Relationship Id="rId7" Type="http://schemas.openxmlformats.org/officeDocument/2006/relationships/table" Target="../tables/table28.xml"/><Relationship Id="rId12" Type="http://schemas.openxmlformats.org/officeDocument/2006/relationships/table" Target="../tables/table33.xml"/><Relationship Id="rId17" Type="http://schemas.openxmlformats.org/officeDocument/2006/relationships/table" Target="../tables/table38.xml"/><Relationship Id="rId2" Type="http://schemas.openxmlformats.org/officeDocument/2006/relationships/table" Target="../tables/table23.xml"/><Relationship Id="rId16" Type="http://schemas.openxmlformats.org/officeDocument/2006/relationships/table" Target="../tables/table37.xml"/><Relationship Id="rId1" Type="http://schemas.openxmlformats.org/officeDocument/2006/relationships/table" Target="../tables/table22.xml"/><Relationship Id="rId6" Type="http://schemas.openxmlformats.org/officeDocument/2006/relationships/table" Target="../tables/table27.xml"/><Relationship Id="rId11" Type="http://schemas.openxmlformats.org/officeDocument/2006/relationships/table" Target="../tables/table32.xml"/><Relationship Id="rId5" Type="http://schemas.openxmlformats.org/officeDocument/2006/relationships/table" Target="../tables/table26.xml"/><Relationship Id="rId15" Type="http://schemas.openxmlformats.org/officeDocument/2006/relationships/table" Target="../tables/table36.xml"/><Relationship Id="rId10" Type="http://schemas.openxmlformats.org/officeDocument/2006/relationships/table" Target="../tables/table31.xml"/><Relationship Id="rId4" Type="http://schemas.openxmlformats.org/officeDocument/2006/relationships/table" Target="../tables/table25.xml"/><Relationship Id="rId9" Type="http://schemas.openxmlformats.org/officeDocument/2006/relationships/table" Target="../tables/table30.xml"/><Relationship Id="rId14" Type="http://schemas.openxmlformats.org/officeDocument/2006/relationships/table" Target="../tables/table3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6.xml"/><Relationship Id="rId3" Type="http://schemas.openxmlformats.org/officeDocument/2006/relationships/table" Target="../tables/table41.xml"/><Relationship Id="rId7" Type="http://schemas.openxmlformats.org/officeDocument/2006/relationships/table" Target="../tables/table45.xml"/><Relationship Id="rId2" Type="http://schemas.openxmlformats.org/officeDocument/2006/relationships/table" Target="../tables/table40.xml"/><Relationship Id="rId1" Type="http://schemas.openxmlformats.org/officeDocument/2006/relationships/table" Target="../tables/table39.xml"/><Relationship Id="rId6" Type="http://schemas.openxmlformats.org/officeDocument/2006/relationships/table" Target="../tables/table44.xml"/><Relationship Id="rId5" Type="http://schemas.openxmlformats.org/officeDocument/2006/relationships/table" Target="../tables/table43.xml"/><Relationship Id="rId10" Type="http://schemas.openxmlformats.org/officeDocument/2006/relationships/table" Target="../tables/table48.xml"/><Relationship Id="rId4" Type="http://schemas.openxmlformats.org/officeDocument/2006/relationships/table" Target="../tables/table42.xml"/><Relationship Id="rId9" Type="http://schemas.openxmlformats.org/officeDocument/2006/relationships/table" Target="../tables/table4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1.xml"/><Relationship Id="rId2" Type="http://schemas.openxmlformats.org/officeDocument/2006/relationships/table" Target="../tables/table50.xml"/><Relationship Id="rId1" Type="http://schemas.openxmlformats.org/officeDocument/2006/relationships/table" Target="../tables/table4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://www.inicio.com/contacto/accesibilidad" TargetMode="External"/><Relationship Id="rId3" Type="http://schemas.openxmlformats.org/officeDocument/2006/relationships/hyperlink" Target="http://www.inicio.com/contacto/legal" TargetMode="External"/><Relationship Id="rId7" Type="http://schemas.openxmlformats.org/officeDocument/2006/relationships/hyperlink" Target="http://www.inicio.com/contacto/legal" TargetMode="External"/><Relationship Id="rId2" Type="http://schemas.openxmlformats.org/officeDocument/2006/relationships/hyperlink" Target="http://www.inicio.com/contacto" TargetMode="External"/><Relationship Id="rId1" Type="http://schemas.openxmlformats.org/officeDocument/2006/relationships/hyperlink" Target="http://www.inicio.com/" TargetMode="External"/><Relationship Id="rId6" Type="http://schemas.openxmlformats.org/officeDocument/2006/relationships/hyperlink" Target="http://www.inicio.com/contacto" TargetMode="External"/><Relationship Id="rId5" Type="http://schemas.openxmlformats.org/officeDocument/2006/relationships/hyperlink" Target="http://www.inicio.com/" TargetMode="External"/><Relationship Id="rId4" Type="http://schemas.openxmlformats.org/officeDocument/2006/relationships/hyperlink" Target="http://www.inicio.com/contacto/accesibilidad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31FC0-A14C-4615-A4A6-46B7E27CA530}">
  <sheetPr codeName="Hoja1"/>
  <dimension ref="A1:C12"/>
  <sheetViews>
    <sheetView tabSelected="1" topLeftCell="A4" workbookViewId="0">
      <selection activeCell="I25" sqref="I25"/>
    </sheetView>
  </sheetViews>
  <sheetFormatPr baseColWidth="10" defaultRowHeight="16"/>
  <cols>
    <col min="1" max="1" width="5.33203125" customWidth="1"/>
    <col min="2" max="2" width="19.58203125" customWidth="1"/>
    <col min="3" max="3" width="34" bestFit="1" customWidth="1"/>
    <col min="5" max="6" width="11.08203125" customWidth="1"/>
  </cols>
  <sheetData>
    <row r="1" spans="1:3">
      <c r="A1" s="1" t="s">
        <v>0</v>
      </c>
      <c r="B1" t="s">
        <v>3</v>
      </c>
      <c r="C1" t="s">
        <v>4</v>
      </c>
    </row>
    <row r="2" spans="1:3">
      <c r="A2" s="1">
        <v>1</v>
      </c>
      <c r="B2" t="s">
        <v>5</v>
      </c>
      <c r="C2" s="3" t="s">
        <v>6</v>
      </c>
    </row>
    <row r="3" spans="1:3">
      <c r="A3" s="1">
        <v>2</v>
      </c>
      <c r="B3" t="s">
        <v>7</v>
      </c>
      <c r="C3" s="3" t="s">
        <v>8</v>
      </c>
    </row>
    <row r="4" spans="1:3">
      <c r="A4" s="1">
        <v>3</v>
      </c>
      <c r="B4" t="s">
        <v>9</v>
      </c>
      <c r="C4" s="3" t="s">
        <v>10</v>
      </c>
    </row>
    <row r="5" spans="1:3">
      <c r="A5" s="1">
        <v>4</v>
      </c>
      <c r="B5" t="s">
        <v>11</v>
      </c>
      <c r="C5" s="3" t="s">
        <v>12</v>
      </c>
    </row>
    <row r="6" spans="1:3" ht="18.5">
      <c r="B6" s="2"/>
      <c r="C6" s="2"/>
    </row>
    <row r="7" spans="1:3">
      <c r="B7" s="1"/>
    </row>
    <row r="8" spans="1:3">
      <c r="B8" s="1"/>
    </row>
    <row r="9" spans="1:3">
      <c r="B9" s="1"/>
    </row>
    <row r="10" spans="1:3">
      <c r="B10" s="1"/>
    </row>
    <row r="11" spans="1:3">
      <c r="B11" s="1"/>
    </row>
    <row r="12" spans="1:3">
      <c r="B12" s="1"/>
    </row>
  </sheetData>
  <hyperlinks>
    <hyperlink ref="C2" r:id="rId1" xr:uid="{5AD6AAE7-C6B3-4393-A4AD-8242611261A6}"/>
    <hyperlink ref="C3" r:id="rId2" xr:uid="{0BD42326-3D08-493D-B9D5-C6BE5DBBF826}"/>
    <hyperlink ref="C4" r:id="rId3" xr:uid="{DCA05240-8C30-4F33-ABAC-8693ECD58B7C}"/>
    <hyperlink ref="C5" r:id="rId4" xr:uid="{EB8385A2-186F-42E9-8628-E08EFDDA614D}"/>
  </hyperlinks>
  <pageMargins left="0.7" right="0.7" top="0.75" bottom="0.75" header="0.3" footer="0.3"/>
  <pageSetup paperSize="9" orientation="portrait" horizontalDpi="0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BorrarVentanaInmediato">
                <anchor moveWithCells="1" sizeWithCells="1">
                  <from>
                    <xdr:col>1</xdr:col>
                    <xdr:colOff>1485900</xdr:colOff>
                    <xdr:row>29</xdr:row>
                    <xdr:rowOff>120650</xdr:rowOff>
                  </from>
                  <to>
                    <xdr:col>2</xdr:col>
                    <xdr:colOff>857250</xdr:colOff>
                    <xdr:row>30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9" name="Button 3">
              <controlPr defaultSize="0" print="0" autoFill="0" autoPict="0" macro="[0]!Inicio.inicio">
                <anchor moveWithCells="1" sizeWithCells="1">
                  <from>
                    <xdr:col>0</xdr:col>
                    <xdr:colOff>393700</xdr:colOff>
                    <xdr:row>30</xdr:row>
                    <xdr:rowOff>0</xdr:rowOff>
                  </from>
                  <to>
                    <xdr:col>1</xdr:col>
                    <xdr:colOff>876300</xdr:colOff>
                    <xdr:row>31</xdr:row>
                    <xdr:rowOff>31750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53F4C-BD0B-4472-9814-A6DE09A454F9}">
  <sheetPr codeName="Hoja32"/>
  <dimension ref="A2:M155"/>
  <sheetViews>
    <sheetView workbookViewId="0"/>
  </sheetViews>
  <sheetFormatPr baseColWidth="10" defaultRowHeight="16"/>
  <cols>
    <col min="1" max="1" width="6.58203125" style="1" customWidth="1"/>
    <col min="2" max="2" width="16.1640625" customWidth="1"/>
    <col min="3" max="3" width="56.58203125" customWidth="1"/>
    <col min="4" max="4" width="11.1640625" customWidth="1"/>
  </cols>
  <sheetData>
    <row r="2" spans="2:13" ht="29.5">
      <c r="B2" s="4" t="s">
        <v>24</v>
      </c>
    </row>
    <row r="3" spans="2:13" ht="25">
      <c r="B3" s="5" t="s">
        <v>25</v>
      </c>
    </row>
    <row r="4" spans="2:13" ht="26" customHeight="1"/>
    <row r="5" spans="2:13" ht="22.5">
      <c r="B5" s="7" t="s">
        <v>26</v>
      </c>
      <c r="C5" s="7"/>
      <c r="D5" s="7"/>
      <c r="E5" s="7"/>
      <c r="F5" s="7"/>
      <c r="G5" s="7"/>
      <c r="H5" s="7"/>
      <c r="I5" s="7"/>
      <c r="J5" s="7"/>
      <c r="K5" s="7"/>
      <c r="L5" s="7"/>
      <c r="M5" s="7"/>
    </row>
    <row r="6" spans="2:13" ht="12" customHeight="1"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</row>
    <row r="8" spans="2:13" ht="23">
      <c r="B8" s="9" t="s">
        <v>31</v>
      </c>
    </row>
    <row r="9" spans="2:13" ht="23">
      <c r="B9" s="9" t="s">
        <v>32</v>
      </c>
    </row>
    <row r="11" spans="2:13">
      <c r="B11" s="22" t="s">
        <v>29</v>
      </c>
      <c r="C11" s="23"/>
    </row>
    <row r="12" spans="2:13">
      <c r="B12" s="26" t="s">
        <v>19</v>
      </c>
      <c r="C12" s="26">
        <v>9</v>
      </c>
    </row>
    <row r="13" spans="2:13">
      <c r="B13" s="26" t="s">
        <v>22</v>
      </c>
      <c r="C13" s="26">
        <v>11</v>
      </c>
    </row>
    <row r="14" spans="2:13">
      <c r="B14" s="26" t="s">
        <v>30</v>
      </c>
      <c r="C14" s="26">
        <v>20</v>
      </c>
    </row>
    <row r="18" spans="1:4" ht="32" customHeight="1">
      <c r="A18" s="18" t="s">
        <v>1</v>
      </c>
      <c r="B18" s="19" t="s">
        <v>19</v>
      </c>
      <c r="C18" s="20" t="s">
        <v>17</v>
      </c>
      <c r="D18" s="21" t="s">
        <v>18</v>
      </c>
    </row>
    <row r="19" spans="1:4">
      <c r="A19" s="27">
        <v>1</v>
      </c>
      <c r="B19" s="26" t="s">
        <v>5</v>
      </c>
      <c r="C19" s="26" t="s">
        <v>6</v>
      </c>
      <c r="D19" s="28"/>
    </row>
    <row r="20" spans="1:4">
      <c r="A20" s="27">
        <v>2</v>
      </c>
      <c r="B20" s="26" t="s">
        <v>7</v>
      </c>
      <c r="C20" s="26" t="s">
        <v>8</v>
      </c>
      <c r="D20" s="28"/>
    </row>
    <row r="21" spans="1:4">
      <c r="A21" s="27">
        <v>3</v>
      </c>
      <c r="B21" s="26" t="s">
        <v>9</v>
      </c>
      <c r="C21" s="26" t="s">
        <v>10</v>
      </c>
      <c r="D21" s="28"/>
    </row>
    <row r="22" spans="1:4">
      <c r="A22" s="29">
        <v>4</v>
      </c>
      <c r="B22" s="30" t="s">
        <v>11</v>
      </c>
      <c r="C22" s="30" t="s">
        <v>12</v>
      </c>
      <c r="D22" s="31"/>
    </row>
    <row r="25" spans="1:4" ht="32" customHeight="1">
      <c r="A25" s="18" t="s">
        <v>1</v>
      </c>
      <c r="B25" s="19" t="s">
        <v>19</v>
      </c>
      <c r="C25" s="20" t="s">
        <v>67</v>
      </c>
      <c r="D25" s="21" t="s">
        <v>18</v>
      </c>
    </row>
    <row r="26" spans="1:4">
      <c r="A26" s="27">
        <v>1</v>
      </c>
      <c r="B26" s="26" t="s">
        <v>5</v>
      </c>
      <c r="C26" s="26" t="s">
        <v>6</v>
      </c>
      <c r="D26" s="28"/>
    </row>
    <row r="27" spans="1:4">
      <c r="A27" s="27">
        <v>2</v>
      </c>
      <c r="B27" s="26" t="s">
        <v>7</v>
      </c>
      <c r="C27" s="26" t="s">
        <v>8</v>
      </c>
      <c r="D27" s="28"/>
    </row>
    <row r="28" spans="1:4">
      <c r="A28" s="27">
        <v>3</v>
      </c>
      <c r="B28" s="26" t="s">
        <v>9</v>
      </c>
      <c r="C28" s="26" t="s">
        <v>10</v>
      </c>
      <c r="D28" s="28"/>
    </row>
    <row r="29" spans="1:4">
      <c r="A29" s="29">
        <v>4</v>
      </c>
      <c r="B29" s="30" t="s">
        <v>11</v>
      </c>
      <c r="C29" s="30" t="s">
        <v>12</v>
      </c>
      <c r="D29" s="31"/>
    </row>
    <row r="32" spans="1:4" ht="32" customHeight="1">
      <c r="A32" s="18" t="s">
        <v>1</v>
      </c>
      <c r="B32" s="19" t="s">
        <v>19</v>
      </c>
      <c r="C32" s="20" t="s">
        <v>20</v>
      </c>
      <c r="D32" s="21" t="s">
        <v>18</v>
      </c>
    </row>
    <row r="33" spans="1:4">
      <c r="A33" s="27">
        <v>1</v>
      </c>
      <c r="B33" s="26" t="s">
        <v>5</v>
      </c>
      <c r="C33" s="26" t="s">
        <v>6</v>
      </c>
      <c r="D33" s="28"/>
    </row>
    <row r="34" spans="1:4">
      <c r="A34" s="27">
        <v>2</v>
      </c>
      <c r="B34" s="26" t="s">
        <v>7</v>
      </c>
      <c r="C34" s="26" t="s">
        <v>8</v>
      </c>
      <c r="D34" s="28"/>
    </row>
    <row r="35" spans="1:4">
      <c r="A35" s="27">
        <v>3</v>
      </c>
      <c r="B35" s="26" t="s">
        <v>9</v>
      </c>
      <c r="C35" s="26" t="s">
        <v>10</v>
      </c>
      <c r="D35" s="28"/>
    </row>
    <row r="36" spans="1:4">
      <c r="A36" s="29">
        <v>4</v>
      </c>
      <c r="B36" s="30" t="s">
        <v>11</v>
      </c>
      <c r="C36" s="30" t="s">
        <v>12</v>
      </c>
      <c r="D36" s="31"/>
    </row>
    <row r="39" spans="1:4" ht="32" customHeight="1">
      <c r="A39" s="18" t="s">
        <v>1</v>
      </c>
      <c r="B39" s="19" t="s">
        <v>19</v>
      </c>
      <c r="C39" s="20" t="s">
        <v>21</v>
      </c>
      <c r="D39" s="21" t="s">
        <v>18</v>
      </c>
    </row>
    <row r="40" spans="1:4">
      <c r="A40" s="27">
        <v>1</v>
      </c>
      <c r="B40" s="26" t="s">
        <v>5</v>
      </c>
      <c r="C40" s="26" t="s">
        <v>6</v>
      </c>
      <c r="D40" s="28"/>
    </row>
    <row r="41" spans="1:4">
      <c r="A41" s="27">
        <v>2</v>
      </c>
      <c r="B41" s="26" t="s">
        <v>7</v>
      </c>
      <c r="C41" s="26" t="s">
        <v>8</v>
      </c>
      <c r="D41" s="28"/>
    </row>
    <row r="42" spans="1:4">
      <c r="A42" s="27">
        <v>3</v>
      </c>
      <c r="B42" s="26" t="s">
        <v>9</v>
      </c>
      <c r="C42" s="26" t="s">
        <v>10</v>
      </c>
      <c r="D42" s="28"/>
    </row>
    <row r="43" spans="1:4">
      <c r="A43" s="29">
        <v>4</v>
      </c>
      <c r="B43" s="30" t="s">
        <v>11</v>
      </c>
      <c r="C43" s="30" t="s">
        <v>12</v>
      </c>
      <c r="D43" s="31"/>
    </row>
    <row r="46" spans="1:4" ht="32" customHeight="1">
      <c r="A46" s="18" t="s">
        <v>1</v>
      </c>
      <c r="B46" s="19" t="s">
        <v>22</v>
      </c>
      <c r="C46" s="20" t="s">
        <v>23</v>
      </c>
      <c r="D46" s="21" t="s">
        <v>18</v>
      </c>
    </row>
    <row r="47" spans="1:4">
      <c r="A47" s="27">
        <v>1</v>
      </c>
      <c r="B47" s="26" t="s">
        <v>5</v>
      </c>
      <c r="C47" s="26" t="s">
        <v>6</v>
      </c>
      <c r="D47" s="28"/>
    </row>
    <row r="48" spans="1:4">
      <c r="A48" s="27">
        <v>2</v>
      </c>
      <c r="B48" s="26" t="s">
        <v>7</v>
      </c>
      <c r="C48" s="26" t="s">
        <v>8</v>
      </c>
      <c r="D48" s="28"/>
    </row>
    <row r="49" spans="1:4">
      <c r="A49" s="27">
        <v>3</v>
      </c>
      <c r="B49" s="26" t="s">
        <v>9</v>
      </c>
      <c r="C49" s="26" t="s">
        <v>10</v>
      </c>
      <c r="D49" s="28"/>
    </row>
    <row r="50" spans="1:4">
      <c r="A50" s="29">
        <v>4</v>
      </c>
      <c r="B50" s="30" t="s">
        <v>11</v>
      </c>
      <c r="C50" s="30" t="s">
        <v>12</v>
      </c>
      <c r="D50" s="31"/>
    </row>
    <row r="53" spans="1:4" ht="32" customHeight="1">
      <c r="A53" s="18" t="s">
        <v>1</v>
      </c>
      <c r="B53" s="19" t="s">
        <v>22</v>
      </c>
      <c r="C53" s="20" t="s">
        <v>68</v>
      </c>
      <c r="D53" s="21" t="s">
        <v>18</v>
      </c>
    </row>
    <row r="54" spans="1:4">
      <c r="A54" s="27">
        <v>1</v>
      </c>
      <c r="B54" s="26" t="s">
        <v>5</v>
      </c>
      <c r="C54" s="26" t="s">
        <v>6</v>
      </c>
      <c r="D54" s="28"/>
    </row>
    <row r="55" spans="1:4">
      <c r="A55" s="27">
        <v>2</v>
      </c>
      <c r="B55" s="26" t="s">
        <v>7</v>
      </c>
      <c r="C55" s="26" t="s">
        <v>8</v>
      </c>
      <c r="D55" s="28"/>
    </row>
    <row r="56" spans="1:4">
      <c r="A56" s="27">
        <v>3</v>
      </c>
      <c r="B56" s="26" t="s">
        <v>9</v>
      </c>
      <c r="C56" s="26" t="s">
        <v>10</v>
      </c>
      <c r="D56" s="28"/>
    </row>
    <row r="57" spans="1:4">
      <c r="A57" s="29">
        <v>4</v>
      </c>
      <c r="B57" s="30" t="s">
        <v>11</v>
      </c>
      <c r="C57" s="30" t="s">
        <v>12</v>
      </c>
      <c r="D57" s="31"/>
    </row>
    <row r="60" spans="1:4" ht="32" customHeight="1">
      <c r="A60" s="18" t="s">
        <v>1</v>
      </c>
      <c r="B60" s="19" t="s">
        <v>19</v>
      </c>
      <c r="C60" s="20" t="s">
        <v>69</v>
      </c>
      <c r="D60" s="21" t="s">
        <v>18</v>
      </c>
    </row>
    <row r="61" spans="1:4">
      <c r="A61" s="27">
        <v>1</v>
      </c>
      <c r="B61" s="26" t="s">
        <v>5</v>
      </c>
      <c r="C61" s="26" t="s">
        <v>6</v>
      </c>
      <c r="D61" s="28"/>
    </row>
    <row r="62" spans="1:4">
      <c r="A62" s="27">
        <v>2</v>
      </c>
      <c r="B62" s="26" t="s">
        <v>7</v>
      </c>
      <c r="C62" s="26" t="s">
        <v>8</v>
      </c>
      <c r="D62" s="28"/>
    </row>
    <row r="63" spans="1:4">
      <c r="A63" s="27">
        <v>3</v>
      </c>
      <c r="B63" s="26" t="s">
        <v>9</v>
      </c>
      <c r="C63" s="26" t="s">
        <v>10</v>
      </c>
      <c r="D63" s="28"/>
    </row>
    <row r="64" spans="1:4">
      <c r="A64" s="29">
        <v>4</v>
      </c>
      <c r="B64" s="30" t="s">
        <v>11</v>
      </c>
      <c r="C64" s="30" t="s">
        <v>12</v>
      </c>
      <c r="D64" s="31"/>
    </row>
    <row r="67" spans="1:4" ht="32" customHeight="1">
      <c r="A67" s="18" t="s">
        <v>1</v>
      </c>
      <c r="B67" s="19" t="s">
        <v>19</v>
      </c>
      <c r="C67" s="20" t="s">
        <v>70</v>
      </c>
      <c r="D67" s="21" t="s">
        <v>18</v>
      </c>
    </row>
    <row r="68" spans="1:4">
      <c r="A68" s="27">
        <v>1</v>
      </c>
      <c r="B68" s="26" t="s">
        <v>5</v>
      </c>
      <c r="C68" s="26" t="s">
        <v>6</v>
      </c>
      <c r="D68" s="28"/>
    </row>
    <row r="69" spans="1:4">
      <c r="A69" s="27">
        <v>2</v>
      </c>
      <c r="B69" s="26" t="s">
        <v>7</v>
      </c>
      <c r="C69" s="26" t="s">
        <v>8</v>
      </c>
      <c r="D69" s="28"/>
    </row>
    <row r="70" spans="1:4">
      <c r="A70" s="27">
        <v>3</v>
      </c>
      <c r="B70" s="26" t="s">
        <v>9</v>
      </c>
      <c r="C70" s="26" t="s">
        <v>10</v>
      </c>
      <c r="D70" s="28"/>
    </row>
    <row r="71" spans="1:4">
      <c r="A71" s="29">
        <v>4</v>
      </c>
      <c r="B71" s="30" t="s">
        <v>11</v>
      </c>
      <c r="C71" s="30" t="s">
        <v>12</v>
      </c>
      <c r="D71" s="31"/>
    </row>
    <row r="74" spans="1:4" ht="32" customHeight="1">
      <c r="A74" s="18" t="s">
        <v>1</v>
      </c>
      <c r="B74" s="19" t="s">
        <v>19</v>
      </c>
      <c r="C74" s="20" t="s">
        <v>71</v>
      </c>
      <c r="D74" s="21" t="s">
        <v>18</v>
      </c>
    </row>
    <row r="75" spans="1:4">
      <c r="A75" s="27">
        <v>1</v>
      </c>
      <c r="B75" s="26" t="s">
        <v>5</v>
      </c>
      <c r="C75" s="26" t="s">
        <v>6</v>
      </c>
      <c r="D75" s="28"/>
    </row>
    <row r="76" spans="1:4">
      <c r="A76" s="27">
        <v>2</v>
      </c>
      <c r="B76" s="26" t="s">
        <v>7</v>
      </c>
      <c r="C76" s="26" t="s">
        <v>8</v>
      </c>
      <c r="D76" s="28"/>
    </row>
    <row r="77" spans="1:4">
      <c r="A77" s="27">
        <v>3</v>
      </c>
      <c r="B77" s="26" t="s">
        <v>9</v>
      </c>
      <c r="C77" s="26" t="s">
        <v>10</v>
      </c>
      <c r="D77" s="28"/>
    </row>
    <row r="78" spans="1:4">
      <c r="A78" s="29">
        <v>4</v>
      </c>
      <c r="B78" s="30" t="s">
        <v>11</v>
      </c>
      <c r="C78" s="30" t="s">
        <v>12</v>
      </c>
      <c r="D78" s="31"/>
    </row>
    <row r="81" spans="1:4" ht="32" customHeight="1">
      <c r="A81" s="18" t="s">
        <v>1</v>
      </c>
      <c r="B81" s="19" t="s">
        <v>22</v>
      </c>
      <c r="C81" s="20" t="s">
        <v>72</v>
      </c>
      <c r="D81" s="21" t="s">
        <v>18</v>
      </c>
    </row>
    <row r="82" spans="1:4">
      <c r="A82" s="27">
        <v>1</v>
      </c>
      <c r="B82" s="26" t="s">
        <v>5</v>
      </c>
      <c r="C82" s="26" t="s">
        <v>6</v>
      </c>
      <c r="D82" s="28"/>
    </row>
    <row r="83" spans="1:4">
      <c r="A83" s="27">
        <v>2</v>
      </c>
      <c r="B83" s="26" t="s">
        <v>7</v>
      </c>
      <c r="C83" s="26" t="s">
        <v>8</v>
      </c>
      <c r="D83" s="28"/>
    </row>
    <row r="84" spans="1:4">
      <c r="A84" s="27">
        <v>3</v>
      </c>
      <c r="B84" s="26" t="s">
        <v>9</v>
      </c>
      <c r="C84" s="26" t="s">
        <v>10</v>
      </c>
      <c r="D84" s="28"/>
    </row>
    <row r="85" spans="1:4">
      <c r="A85" s="29">
        <v>4</v>
      </c>
      <c r="B85" s="30" t="s">
        <v>11</v>
      </c>
      <c r="C85" s="30" t="s">
        <v>12</v>
      </c>
      <c r="D85" s="31"/>
    </row>
    <row r="88" spans="1:4" ht="32" customHeight="1">
      <c r="A88" s="18" t="s">
        <v>1</v>
      </c>
      <c r="B88" s="19" t="s">
        <v>22</v>
      </c>
      <c r="C88" s="20" t="s">
        <v>73</v>
      </c>
      <c r="D88" s="21" t="s">
        <v>18</v>
      </c>
    </row>
    <row r="89" spans="1:4">
      <c r="A89" s="27">
        <v>1</v>
      </c>
      <c r="B89" s="26" t="s">
        <v>5</v>
      </c>
      <c r="C89" s="26" t="s">
        <v>6</v>
      </c>
      <c r="D89" s="28"/>
    </row>
    <row r="90" spans="1:4">
      <c r="A90" s="27">
        <v>2</v>
      </c>
      <c r="B90" s="26" t="s">
        <v>7</v>
      </c>
      <c r="C90" s="26" t="s">
        <v>8</v>
      </c>
      <c r="D90" s="28"/>
    </row>
    <row r="91" spans="1:4">
      <c r="A91" s="27">
        <v>3</v>
      </c>
      <c r="B91" s="26" t="s">
        <v>9</v>
      </c>
      <c r="C91" s="26" t="s">
        <v>10</v>
      </c>
      <c r="D91" s="28"/>
    </row>
    <row r="92" spans="1:4">
      <c r="A92" s="29">
        <v>4</v>
      </c>
      <c r="B92" s="30" t="s">
        <v>11</v>
      </c>
      <c r="C92" s="30" t="s">
        <v>12</v>
      </c>
      <c r="D92" s="31"/>
    </row>
    <row r="95" spans="1:4" ht="32" customHeight="1">
      <c r="A95" s="18" t="s">
        <v>1</v>
      </c>
      <c r="B95" s="19" t="s">
        <v>19</v>
      </c>
      <c r="C95" s="20" t="s">
        <v>74</v>
      </c>
      <c r="D95" s="21" t="s">
        <v>18</v>
      </c>
    </row>
    <row r="96" spans="1:4">
      <c r="A96" s="27">
        <v>1</v>
      </c>
      <c r="B96" s="26" t="s">
        <v>5</v>
      </c>
      <c r="C96" s="26" t="s">
        <v>6</v>
      </c>
      <c r="D96" s="28"/>
    </row>
    <row r="97" spans="1:4">
      <c r="A97" s="27">
        <v>2</v>
      </c>
      <c r="B97" s="26" t="s">
        <v>7</v>
      </c>
      <c r="C97" s="26" t="s">
        <v>8</v>
      </c>
      <c r="D97" s="28"/>
    </row>
    <row r="98" spans="1:4">
      <c r="A98" s="27">
        <v>3</v>
      </c>
      <c r="B98" s="26" t="s">
        <v>9</v>
      </c>
      <c r="C98" s="26" t="s">
        <v>10</v>
      </c>
      <c r="D98" s="28"/>
    </row>
    <row r="99" spans="1:4">
      <c r="A99" s="29">
        <v>4</v>
      </c>
      <c r="B99" s="30" t="s">
        <v>11</v>
      </c>
      <c r="C99" s="30" t="s">
        <v>12</v>
      </c>
      <c r="D99" s="31"/>
    </row>
    <row r="102" spans="1:4" ht="32" customHeight="1">
      <c r="A102" s="18" t="s">
        <v>1</v>
      </c>
      <c r="B102" s="19" t="s">
        <v>19</v>
      </c>
      <c r="C102" s="20" t="s">
        <v>75</v>
      </c>
      <c r="D102" s="21" t="s">
        <v>18</v>
      </c>
    </row>
    <row r="103" spans="1:4">
      <c r="A103" s="27">
        <v>1</v>
      </c>
      <c r="B103" s="26" t="s">
        <v>5</v>
      </c>
      <c r="C103" s="26" t="s">
        <v>6</v>
      </c>
      <c r="D103" s="28"/>
    </row>
    <row r="104" spans="1:4">
      <c r="A104" s="27">
        <v>2</v>
      </c>
      <c r="B104" s="26" t="s">
        <v>7</v>
      </c>
      <c r="C104" s="26" t="s">
        <v>8</v>
      </c>
      <c r="D104" s="28"/>
    </row>
    <row r="105" spans="1:4">
      <c r="A105" s="27">
        <v>3</v>
      </c>
      <c r="B105" s="26" t="s">
        <v>9</v>
      </c>
      <c r="C105" s="26" t="s">
        <v>10</v>
      </c>
      <c r="D105" s="28"/>
    </row>
    <row r="106" spans="1:4">
      <c r="A106" s="29">
        <v>4</v>
      </c>
      <c r="B106" s="30" t="s">
        <v>11</v>
      </c>
      <c r="C106" s="30" t="s">
        <v>12</v>
      </c>
      <c r="D106" s="31"/>
    </row>
    <row r="109" spans="1:4" ht="32" customHeight="1">
      <c r="A109" s="18" t="s">
        <v>1</v>
      </c>
      <c r="B109" s="19" t="s">
        <v>22</v>
      </c>
      <c r="C109" s="20" t="s">
        <v>76</v>
      </c>
      <c r="D109" s="21" t="s">
        <v>18</v>
      </c>
    </row>
    <row r="110" spans="1:4">
      <c r="A110" s="27">
        <v>1</v>
      </c>
      <c r="B110" s="26" t="s">
        <v>5</v>
      </c>
      <c r="C110" s="26" t="s">
        <v>6</v>
      </c>
      <c r="D110" s="28"/>
    </row>
    <row r="111" spans="1:4">
      <c r="A111" s="27">
        <v>2</v>
      </c>
      <c r="B111" s="26" t="s">
        <v>7</v>
      </c>
      <c r="C111" s="26" t="s">
        <v>8</v>
      </c>
      <c r="D111" s="28"/>
    </row>
    <row r="112" spans="1:4">
      <c r="A112" s="27">
        <v>3</v>
      </c>
      <c r="B112" s="26" t="s">
        <v>9</v>
      </c>
      <c r="C112" s="26" t="s">
        <v>10</v>
      </c>
      <c r="D112" s="28"/>
    </row>
    <row r="113" spans="1:4">
      <c r="A113" s="29">
        <v>4</v>
      </c>
      <c r="B113" s="30" t="s">
        <v>11</v>
      </c>
      <c r="C113" s="30" t="s">
        <v>12</v>
      </c>
      <c r="D113" s="31"/>
    </row>
    <row r="116" spans="1:4" ht="32" customHeight="1">
      <c r="A116" s="18" t="s">
        <v>1</v>
      </c>
      <c r="B116" s="19" t="s">
        <v>22</v>
      </c>
      <c r="C116" s="20" t="s">
        <v>77</v>
      </c>
      <c r="D116" s="21" t="s">
        <v>18</v>
      </c>
    </row>
    <row r="117" spans="1:4">
      <c r="A117" s="27">
        <v>1</v>
      </c>
      <c r="B117" s="26" t="s">
        <v>5</v>
      </c>
      <c r="C117" s="26" t="s">
        <v>6</v>
      </c>
      <c r="D117" s="28"/>
    </row>
    <row r="118" spans="1:4">
      <c r="A118" s="27">
        <v>2</v>
      </c>
      <c r="B118" s="26" t="s">
        <v>7</v>
      </c>
      <c r="C118" s="26" t="s">
        <v>8</v>
      </c>
      <c r="D118" s="28"/>
    </row>
    <row r="119" spans="1:4">
      <c r="A119" s="27">
        <v>3</v>
      </c>
      <c r="B119" s="26" t="s">
        <v>9</v>
      </c>
      <c r="C119" s="26" t="s">
        <v>10</v>
      </c>
      <c r="D119" s="28"/>
    </row>
    <row r="120" spans="1:4">
      <c r="A120" s="29">
        <v>4</v>
      </c>
      <c r="B120" s="30" t="s">
        <v>11</v>
      </c>
      <c r="C120" s="30" t="s">
        <v>12</v>
      </c>
      <c r="D120" s="31"/>
    </row>
    <row r="123" spans="1:4" ht="32" customHeight="1">
      <c r="A123" s="18" t="s">
        <v>1</v>
      </c>
      <c r="B123" s="19" t="s">
        <v>22</v>
      </c>
      <c r="C123" s="20" t="s">
        <v>78</v>
      </c>
      <c r="D123" s="21" t="s">
        <v>18</v>
      </c>
    </row>
    <row r="124" spans="1:4">
      <c r="A124" s="27">
        <v>1</v>
      </c>
      <c r="B124" s="26" t="s">
        <v>5</v>
      </c>
      <c r="C124" s="26" t="s">
        <v>6</v>
      </c>
      <c r="D124" s="28"/>
    </row>
    <row r="125" spans="1:4">
      <c r="A125" s="27">
        <v>2</v>
      </c>
      <c r="B125" s="26" t="s">
        <v>7</v>
      </c>
      <c r="C125" s="26" t="s">
        <v>8</v>
      </c>
      <c r="D125" s="28"/>
    </row>
    <row r="126" spans="1:4">
      <c r="A126" s="27">
        <v>3</v>
      </c>
      <c r="B126" s="26" t="s">
        <v>9</v>
      </c>
      <c r="C126" s="26" t="s">
        <v>10</v>
      </c>
      <c r="D126" s="28"/>
    </row>
    <row r="127" spans="1:4">
      <c r="A127" s="29">
        <v>4</v>
      </c>
      <c r="B127" s="30" t="s">
        <v>11</v>
      </c>
      <c r="C127" s="30" t="s">
        <v>12</v>
      </c>
      <c r="D127" s="31"/>
    </row>
    <row r="130" spans="1:4" ht="32" customHeight="1">
      <c r="A130" s="18" t="s">
        <v>1</v>
      </c>
      <c r="B130" s="19" t="s">
        <v>22</v>
      </c>
      <c r="C130" s="20" t="s">
        <v>79</v>
      </c>
      <c r="D130" s="21" t="s">
        <v>18</v>
      </c>
    </row>
    <row r="131" spans="1:4">
      <c r="A131" s="27">
        <v>1</v>
      </c>
      <c r="B131" s="26" t="s">
        <v>5</v>
      </c>
      <c r="C131" s="26" t="s">
        <v>6</v>
      </c>
      <c r="D131" s="28"/>
    </row>
    <row r="132" spans="1:4">
      <c r="A132" s="27">
        <v>2</v>
      </c>
      <c r="B132" s="26" t="s">
        <v>7</v>
      </c>
      <c r="C132" s="26" t="s">
        <v>8</v>
      </c>
      <c r="D132" s="28"/>
    </row>
    <row r="133" spans="1:4">
      <c r="A133" s="27">
        <v>3</v>
      </c>
      <c r="B133" s="26" t="s">
        <v>9</v>
      </c>
      <c r="C133" s="26" t="s">
        <v>10</v>
      </c>
      <c r="D133" s="28"/>
    </row>
    <row r="134" spans="1:4">
      <c r="A134" s="29">
        <v>4</v>
      </c>
      <c r="B134" s="30" t="s">
        <v>11</v>
      </c>
      <c r="C134" s="30" t="s">
        <v>12</v>
      </c>
      <c r="D134" s="31"/>
    </row>
    <row r="137" spans="1:4" ht="32" customHeight="1">
      <c r="A137" s="18" t="s">
        <v>1</v>
      </c>
      <c r="B137" s="19" t="s">
        <v>22</v>
      </c>
      <c r="C137" s="20" t="s">
        <v>80</v>
      </c>
      <c r="D137" s="21" t="s">
        <v>18</v>
      </c>
    </row>
    <row r="138" spans="1:4">
      <c r="A138" s="27">
        <v>1</v>
      </c>
      <c r="B138" s="26" t="s">
        <v>5</v>
      </c>
      <c r="C138" s="26" t="s">
        <v>6</v>
      </c>
      <c r="D138" s="28"/>
    </row>
    <row r="139" spans="1:4">
      <c r="A139" s="27">
        <v>2</v>
      </c>
      <c r="B139" s="26" t="s">
        <v>7</v>
      </c>
      <c r="C139" s="26" t="s">
        <v>8</v>
      </c>
      <c r="D139" s="28"/>
    </row>
    <row r="140" spans="1:4">
      <c r="A140" s="27">
        <v>3</v>
      </c>
      <c r="B140" s="26" t="s">
        <v>9</v>
      </c>
      <c r="C140" s="26" t="s">
        <v>10</v>
      </c>
      <c r="D140" s="28"/>
    </row>
    <row r="141" spans="1:4">
      <c r="A141" s="29">
        <v>4</v>
      </c>
      <c r="B141" s="30" t="s">
        <v>11</v>
      </c>
      <c r="C141" s="30" t="s">
        <v>12</v>
      </c>
      <c r="D141" s="31"/>
    </row>
    <row r="144" spans="1:4" ht="32" customHeight="1">
      <c r="A144" s="18" t="s">
        <v>1</v>
      </c>
      <c r="B144" s="19" t="s">
        <v>22</v>
      </c>
      <c r="C144" s="20" t="s">
        <v>81</v>
      </c>
      <c r="D144" s="21" t="s">
        <v>18</v>
      </c>
    </row>
    <row r="145" spans="1:4">
      <c r="A145" s="27">
        <v>1</v>
      </c>
      <c r="B145" s="26" t="s">
        <v>5</v>
      </c>
      <c r="C145" s="26" t="s">
        <v>6</v>
      </c>
      <c r="D145" s="28"/>
    </row>
    <row r="146" spans="1:4">
      <c r="A146" s="27">
        <v>2</v>
      </c>
      <c r="B146" s="26" t="s">
        <v>7</v>
      </c>
      <c r="C146" s="26" t="s">
        <v>8</v>
      </c>
      <c r="D146" s="28"/>
    </row>
    <row r="147" spans="1:4">
      <c r="A147" s="27">
        <v>3</v>
      </c>
      <c r="B147" s="26" t="s">
        <v>9</v>
      </c>
      <c r="C147" s="26" t="s">
        <v>10</v>
      </c>
      <c r="D147" s="28"/>
    </row>
    <row r="148" spans="1:4">
      <c r="A148" s="29">
        <v>4</v>
      </c>
      <c r="B148" s="30" t="s">
        <v>11</v>
      </c>
      <c r="C148" s="30" t="s">
        <v>12</v>
      </c>
      <c r="D148" s="31"/>
    </row>
    <row r="151" spans="1:4" ht="32" customHeight="1">
      <c r="A151" s="18" t="s">
        <v>1</v>
      </c>
      <c r="B151" s="19" t="s">
        <v>22</v>
      </c>
      <c r="C151" s="20" t="s">
        <v>82</v>
      </c>
      <c r="D151" s="21" t="s">
        <v>18</v>
      </c>
    </row>
    <row r="152" spans="1:4">
      <c r="A152" s="27">
        <v>1</v>
      </c>
      <c r="B152" s="26" t="s">
        <v>5</v>
      </c>
      <c r="C152" s="26" t="s">
        <v>6</v>
      </c>
      <c r="D152" s="28"/>
    </row>
    <row r="153" spans="1:4">
      <c r="A153" s="27">
        <v>2</v>
      </c>
      <c r="B153" s="26" t="s">
        <v>7</v>
      </c>
      <c r="C153" s="26" t="s">
        <v>8</v>
      </c>
      <c r="D153" s="28"/>
    </row>
    <row r="154" spans="1:4">
      <c r="A154" s="27">
        <v>3</v>
      </c>
      <c r="B154" s="26" t="s">
        <v>9</v>
      </c>
      <c r="C154" s="26" t="s">
        <v>10</v>
      </c>
      <c r="D154" s="28"/>
    </row>
    <row r="155" spans="1:4">
      <c r="A155" s="29">
        <v>4</v>
      </c>
      <c r="B155" s="30" t="s">
        <v>11</v>
      </c>
      <c r="C155" s="30" t="s">
        <v>12</v>
      </c>
      <c r="D155" s="31"/>
    </row>
  </sheetData>
  <mergeCells count="1">
    <mergeCell ref="B11:C11"/>
  </mergeCells>
  <conditionalFormatting sqref="D1:D1048576">
    <cfRule type="containsText" dxfId="15" priority="1" stopIfTrue="1" operator="containsText" text="falla">
      <formula>NOT(ISERROR(SEARCH("falla",D1)))</formula>
    </cfRule>
    <cfRule type="containsText" dxfId="14" priority="2" stopIfTrue="1" operator="containsText" text="pasa">
      <formula>NOT(ISERROR(SEARCH("pasa",D1)))</formula>
    </cfRule>
    <cfRule type="containsText" dxfId="13" priority="3" stopIfTrue="1" operator="containsText" text="n/a">
      <formula>NOT(ISERROR(SEARCH("n/a",D1)))</formula>
    </cfRule>
  </conditionalFormatting>
  <pageMargins left="0.7" right="0.7" top="0.75" bottom="0.75" header="0.3" footer="0.3"/>
  <tableParts count="2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AC9A9D0-AE0D-49D4-8522-4C2CFB030B99}">
          <x14:formula1>
            <xm:f>Datos!$A$2:$A$5</xm:f>
          </x14:formula1>
          <xm:sqref>D19:D22 D26:D29 D33:D36 D40:D43 D47:D50 D54:D57 D61:D64 D68:D71 D75:D78 D82:D85 D89:D92 D96:D99 D103:D106 D110:D113 D117:D120 D124:D127 D131:D134 D138:D141 D145:D148 D152:D155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E403A-AAE0-497C-A9CC-4BA55802A16E}">
  <sheetPr codeName="Hoja31"/>
  <dimension ref="A2:M134"/>
  <sheetViews>
    <sheetView workbookViewId="0"/>
  </sheetViews>
  <sheetFormatPr baseColWidth="10" defaultRowHeight="16"/>
  <cols>
    <col min="1" max="1" width="6.58203125" style="1" customWidth="1"/>
    <col min="2" max="2" width="16.1640625" customWidth="1"/>
    <col min="3" max="3" width="56.58203125" customWidth="1"/>
    <col min="4" max="4" width="11.1640625" customWidth="1"/>
  </cols>
  <sheetData>
    <row r="2" spans="2:13" ht="29.5">
      <c r="B2" s="4" t="s">
        <v>24</v>
      </c>
    </row>
    <row r="3" spans="2:13" ht="25">
      <c r="B3" s="5" t="s">
        <v>25</v>
      </c>
    </row>
    <row r="4" spans="2:13" ht="26" customHeight="1"/>
    <row r="5" spans="2:13" ht="22.5">
      <c r="B5" s="7" t="s">
        <v>26</v>
      </c>
      <c r="C5" s="7"/>
      <c r="D5" s="7"/>
      <c r="E5" s="7"/>
      <c r="F5" s="7"/>
      <c r="G5" s="7"/>
      <c r="H5" s="7"/>
      <c r="I5" s="7"/>
      <c r="J5" s="7"/>
      <c r="K5" s="7"/>
      <c r="L5" s="7"/>
      <c r="M5" s="7"/>
    </row>
    <row r="6" spans="2:13" ht="12" customHeight="1"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</row>
    <row r="8" spans="2:13" ht="23">
      <c r="B8" s="9" t="s">
        <v>33</v>
      </c>
    </row>
    <row r="9" spans="2:13" ht="23">
      <c r="B9" s="9" t="s">
        <v>34</v>
      </c>
    </row>
    <row r="11" spans="2:13">
      <c r="B11" s="22" t="s">
        <v>29</v>
      </c>
      <c r="C11" s="23"/>
    </row>
    <row r="12" spans="2:13">
      <c r="B12" s="26" t="s">
        <v>19</v>
      </c>
      <c r="C12" s="26">
        <v>14</v>
      </c>
    </row>
    <row r="13" spans="2:13">
      <c r="B13" s="26" t="s">
        <v>22</v>
      </c>
      <c r="C13" s="26">
        <v>3</v>
      </c>
    </row>
    <row r="14" spans="2:13">
      <c r="B14" s="26" t="s">
        <v>30</v>
      </c>
      <c r="C14" s="26">
        <v>17</v>
      </c>
    </row>
    <row r="18" spans="1:4" ht="32" customHeight="1">
      <c r="A18" s="18" t="s">
        <v>1</v>
      </c>
      <c r="B18" s="19" t="s">
        <v>19</v>
      </c>
      <c r="C18" s="20" t="s">
        <v>50</v>
      </c>
      <c r="D18" s="21" t="s">
        <v>18</v>
      </c>
    </row>
    <row r="19" spans="1:4">
      <c r="A19" s="27">
        <v>1</v>
      </c>
      <c r="B19" s="26" t="s">
        <v>5</v>
      </c>
      <c r="C19" s="26" t="s">
        <v>6</v>
      </c>
      <c r="D19" s="28"/>
    </row>
    <row r="20" spans="1:4">
      <c r="A20" s="27">
        <v>2</v>
      </c>
      <c r="B20" s="26" t="s">
        <v>7</v>
      </c>
      <c r="C20" s="26" t="s">
        <v>8</v>
      </c>
      <c r="D20" s="28"/>
    </row>
    <row r="21" spans="1:4">
      <c r="A21" s="27">
        <v>3</v>
      </c>
      <c r="B21" s="26" t="s">
        <v>9</v>
      </c>
      <c r="C21" s="26" t="s">
        <v>10</v>
      </c>
      <c r="D21" s="28"/>
    </row>
    <row r="22" spans="1:4">
      <c r="A22" s="29">
        <v>4</v>
      </c>
      <c r="B22" s="30" t="s">
        <v>11</v>
      </c>
      <c r="C22" s="30" t="s">
        <v>12</v>
      </c>
      <c r="D22" s="31"/>
    </row>
    <row r="25" spans="1:4" ht="32" customHeight="1">
      <c r="A25" s="18" t="s">
        <v>1</v>
      </c>
      <c r="B25" s="19" t="s">
        <v>19</v>
      </c>
      <c r="C25" s="20" t="s">
        <v>51</v>
      </c>
      <c r="D25" s="21" t="s">
        <v>18</v>
      </c>
    </row>
    <row r="26" spans="1:4">
      <c r="A26" s="27">
        <v>1</v>
      </c>
      <c r="B26" s="26" t="s">
        <v>5</v>
      </c>
      <c r="C26" s="26" t="s">
        <v>6</v>
      </c>
      <c r="D26" s="28"/>
    </row>
    <row r="27" spans="1:4">
      <c r="A27" s="27">
        <v>2</v>
      </c>
      <c r="B27" s="26" t="s">
        <v>7</v>
      </c>
      <c r="C27" s="26" t="s">
        <v>8</v>
      </c>
      <c r="D27" s="28"/>
    </row>
    <row r="28" spans="1:4">
      <c r="A28" s="27">
        <v>3</v>
      </c>
      <c r="B28" s="26" t="s">
        <v>9</v>
      </c>
      <c r="C28" s="26" t="s">
        <v>10</v>
      </c>
      <c r="D28" s="28"/>
    </row>
    <row r="29" spans="1:4">
      <c r="A29" s="29">
        <v>4</v>
      </c>
      <c r="B29" s="30" t="s">
        <v>11</v>
      </c>
      <c r="C29" s="30" t="s">
        <v>12</v>
      </c>
      <c r="D29" s="31"/>
    </row>
    <row r="32" spans="1:4" ht="32" customHeight="1">
      <c r="A32" s="18" t="s">
        <v>1</v>
      </c>
      <c r="B32" s="19" t="s">
        <v>19</v>
      </c>
      <c r="C32" s="20" t="s">
        <v>52</v>
      </c>
      <c r="D32" s="21" t="s">
        <v>18</v>
      </c>
    </row>
    <row r="33" spans="1:4">
      <c r="A33" s="27">
        <v>1</v>
      </c>
      <c r="B33" s="26" t="s">
        <v>5</v>
      </c>
      <c r="C33" s="26" t="s">
        <v>6</v>
      </c>
      <c r="D33" s="28"/>
    </row>
    <row r="34" spans="1:4">
      <c r="A34" s="27">
        <v>2</v>
      </c>
      <c r="B34" s="26" t="s">
        <v>7</v>
      </c>
      <c r="C34" s="26" t="s">
        <v>8</v>
      </c>
      <c r="D34" s="28"/>
    </row>
    <row r="35" spans="1:4">
      <c r="A35" s="27">
        <v>3</v>
      </c>
      <c r="B35" s="26" t="s">
        <v>9</v>
      </c>
      <c r="C35" s="26" t="s">
        <v>10</v>
      </c>
      <c r="D35" s="28"/>
    </row>
    <row r="36" spans="1:4">
      <c r="A36" s="29">
        <v>4</v>
      </c>
      <c r="B36" s="30" t="s">
        <v>11</v>
      </c>
      <c r="C36" s="30" t="s">
        <v>12</v>
      </c>
      <c r="D36" s="31"/>
    </row>
    <row r="39" spans="1:4" ht="32" customHeight="1">
      <c r="A39" s="18" t="s">
        <v>1</v>
      </c>
      <c r="B39" s="19" t="s">
        <v>19</v>
      </c>
      <c r="C39" s="20" t="s">
        <v>53</v>
      </c>
      <c r="D39" s="21" t="s">
        <v>18</v>
      </c>
    </row>
    <row r="40" spans="1:4">
      <c r="A40" s="27">
        <v>1</v>
      </c>
      <c r="B40" s="26" t="s">
        <v>5</v>
      </c>
      <c r="C40" s="26" t="s">
        <v>6</v>
      </c>
      <c r="D40" s="28"/>
    </row>
    <row r="41" spans="1:4">
      <c r="A41" s="27">
        <v>2</v>
      </c>
      <c r="B41" s="26" t="s">
        <v>7</v>
      </c>
      <c r="C41" s="26" t="s">
        <v>8</v>
      </c>
      <c r="D41" s="28"/>
    </row>
    <row r="42" spans="1:4">
      <c r="A42" s="27">
        <v>3</v>
      </c>
      <c r="B42" s="26" t="s">
        <v>9</v>
      </c>
      <c r="C42" s="26" t="s">
        <v>10</v>
      </c>
      <c r="D42" s="28"/>
    </row>
    <row r="43" spans="1:4">
      <c r="A43" s="29">
        <v>4</v>
      </c>
      <c r="B43" s="30" t="s">
        <v>11</v>
      </c>
      <c r="C43" s="30" t="s">
        <v>12</v>
      </c>
      <c r="D43" s="31"/>
    </row>
    <row r="46" spans="1:4" ht="32" customHeight="1">
      <c r="A46" s="18" t="s">
        <v>1</v>
      </c>
      <c r="B46" s="19" t="s">
        <v>19</v>
      </c>
      <c r="C46" s="20" t="s">
        <v>54</v>
      </c>
      <c r="D46" s="21" t="s">
        <v>18</v>
      </c>
    </row>
    <row r="47" spans="1:4">
      <c r="A47" s="27">
        <v>1</v>
      </c>
      <c r="B47" s="26" t="s">
        <v>5</v>
      </c>
      <c r="C47" s="26" t="s">
        <v>6</v>
      </c>
      <c r="D47" s="28"/>
    </row>
    <row r="48" spans="1:4">
      <c r="A48" s="27">
        <v>2</v>
      </c>
      <c r="B48" s="26" t="s">
        <v>7</v>
      </c>
      <c r="C48" s="26" t="s">
        <v>8</v>
      </c>
      <c r="D48" s="28"/>
    </row>
    <row r="49" spans="1:4">
      <c r="A49" s="27">
        <v>3</v>
      </c>
      <c r="B49" s="26" t="s">
        <v>9</v>
      </c>
      <c r="C49" s="26" t="s">
        <v>10</v>
      </c>
      <c r="D49" s="28"/>
    </row>
    <row r="50" spans="1:4">
      <c r="A50" s="29">
        <v>4</v>
      </c>
      <c r="B50" s="30" t="s">
        <v>11</v>
      </c>
      <c r="C50" s="30" t="s">
        <v>12</v>
      </c>
      <c r="D50" s="31"/>
    </row>
    <row r="53" spans="1:4" ht="32" customHeight="1">
      <c r="A53" s="18" t="s">
        <v>1</v>
      </c>
      <c r="B53" s="19" t="s">
        <v>19</v>
      </c>
      <c r="C53" s="20" t="s">
        <v>55</v>
      </c>
      <c r="D53" s="21" t="s">
        <v>18</v>
      </c>
    </row>
    <row r="54" spans="1:4">
      <c r="A54" s="27">
        <v>1</v>
      </c>
      <c r="B54" s="26" t="s">
        <v>5</v>
      </c>
      <c r="C54" s="26" t="s">
        <v>6</v>
      </c>
      <c r="D54" s="28"/>
    </row>
    <row r="55" spans="1:4">
      <c r="A55" s="27">
        <v>2</v>
      </c>
      <c r="B55" s="26" t="s">
        <v>7</v>
      </c>
      <c r="C55" s="26" t="s">
        <v>8</v>
      </c>
      <c r="D55" s="28"/>
    </row>
    <row r="56" spans="1:4">
      <c r="A56" s="27">
        <v>3</v>
      </c>
      <c r="B56" s="26" t="s">
        <v>9</v>
      </c>
      <c r="C56" s="26" t="s">
        <v>10</v>
      </c>
      <c r="D56" s="28"/>
    </row>
    <row r="57" spans="1:4">
      <c r="A57" s="29">
        <v>4</v>
      </c>
      <c r="B57" s="30" t="s">
        <v>11</v>
      </c>
      <c r="C57" s="30" t="s">
        <v>12</v>
      </c>
      <c r="D57" s="31"/>
    </row>
    <row r="60" spans="1:4" ht="32" customHeight="1">
      <c r="A60" s="18" t="s">
        <v>1</v>
      </c>
      <c r="B60" s="19" t="s">
        <v>19</v>
      </c>
      <c r="C60" s="20" t="s">
        <v>56</v>
      </c>
      <c r="D60" s="21" t="s">
        <v>18</v>
      </c>
    </row>
    <row r="61" spans="1:4">
      <c r="A61" s="27">
        <v>1</v>
      </c>
      <c r="B61" s="26" t="s">
        <v>5</v>
      </c>
      <c r="C61" s="26" t="s">
        <v>6</v>
      </c>
      <c r="D61" s="28"/>
    </row>
    <row r="62" spans="1:4">
      <c r="A62" s="27">
        <v>2</v>
      </c>
      <c r="B62" s="26" t="s">
        <v>7</v>
      </c>
      <c r="C62" s="26" t="s">
        <v>8</v>
      </c>
      <c r="D62" s="28"/>
    </row>
    <row r="63" spans="1:4">
      <c r="A63" s="27">
        <v>3</v>
      </c>
      <c r="B63" s="26" t="s">
        <v>9</v>
      </c>
      <c r="C63" s="26" t="s">
        <v>10</v>
      </c>
      <c r="D63" s="28"/>
    </row>
    <row r="64" spans="1:4">
      <c r="A64" s="29">
        <v>4</v>
      </c>
      <c r="B64" s="30" t="s">
        <v>11</v>
      </c>
      <c r="C64" s="30" t="s">
        <v>12</v>
      </c>
      <c r="D64" s="31"/>
    </row>
    <row r="67" spans="1:4" ht="32" customHeight="1">
      <c r="A67" s="18" t="s">
        <v>1</v>
      </c>
      <c r="B67" s="19" t="s">
        <v>19</v>
      </c>
      <c r="C67" s="20" t="s">
        <v>57</v>
      </c>
      <c r="D67" s="21" t="s">
        <v>18</v>
      </c>
    </row>
    <row r="68" spans="1:4">
      <c r="A68" s="27">
        <v>1</v>
      </c>
      <c r="B68" s="26" t="s">
        <v>5</v>
      </c>
      <c r="C68" s="26" t="s">
        <v>6</v>
      </c>
      <c r="D68" s="28"/>
    </row>
    <row r="69" spans="1:4">
      <c r="A69" s="27">
        <v>2</v>
      </c>
      <c r="B69" s="26" t="s">
        <v>7</v>
      </c>
      <c r="C69" s="26" t="s">
        <v>8</v>
      </c>
      <c r="D69" s="28"/>
    </row>
    <row r="70" spans="1:4">
      <c r="A70" s="27">
        <v>3</v>
      </c>
      <c r="B70" s="26" t="s">
        <v>9</v>
      </c>
      <c r="C70" s="26" t="s">
        <v>10</v>
      </c>
      <c r="D70" s="28"/>
    </row>
    <row r="71" spans="1:4">
      <c r="A71" s="29">
        <v>4</v>
      </c>
      <c r="B71" s="30" t="s">
        <v>11</v>
      </c>
      <c r="C71" s="30" t="s">
        <v>12</v>
      </c>
      <c r="D71" s="31"/>
    </row>
    <row r="74" spans="1:4" ht="32" customHeight="1">
      <c r="A74" s="18" t="s">
        <v>1</v>
      </c>
      <c r="B74" s="19" t="s">
        <v>19</v>
      </c>
      <c r="C74" s="20" t="s">
        <v>58</v>
      </c>
      <c r="D74" s="21" t="s">
        <v>18</v>
      </c>
    </row>
    <row r="75" spans="1:4">
      <c r="A75" s="27">
        <v>1</v>
      </c>
      <c r="B75" s="26" t="s">
        <v>5</v>
      </c>
      <c r="C75" s="26" t="s">
        <v>6</v>
      </c>
      <c r="D75" s="28"/>
    </row>
    <row r="76" spans="1:4">
      <c r="A76" s="27">
        <v>2</v>
      </c>
      <c r="B76" s="26" t="s">
        <v>7</v>
      </c>
      <c r="C76" s="26" t="s">
        <v>8</v>
      </c>
      <c r="D76" s="28"/>
    </row>
    <row r="77" spans="1:4">
      <c r="A77" s="27">
        <v>3</v>
      </c>
      <c r="B77" s="26" t="s">
        <v>9</v>
      </c>
      <c r="C77" s="26" t="s">
        <v>10</v>
      </c>
      <c r="D77" s="28"/>
    </row>
    <row r="78" spans="1:4">
      <c r="A78" s="29">
        <v>4</v>
      </c>
      <c r="B78" s="30" t="s">
        <v>11</v>
      </c>
      <c r="C78" s="30" t="s">
        <v>12</v>
      </c>
      <c r="D78" s="31"/>
    </row>
    <row r="81" spans="1:4" ht="32" customHeight="1">
      <c r="A81" s="18" t="s">
        <v>1</v>
      </c>
      <c r="B81" s="19" t="s">
        <v>19</v>
      </c>
      <c r="C81" s="20" t="s">
        <v>59</v>
      </c>
      <c r="D81" s="21" t="s">
        <v>18</v>
      </c>
    </row>
    <row r="82" spans="1:4">
      <c r="A82" s="27">
        <v>1</v>
      </c>
      <c r="B82" s="26" t="s">
        <v>5</v>
      </c>
      <c r="C82" s="26" t="s">
        <v>6</v>
      </c>
      <c r="D82" s="28"/>
    </row>
    <row r="83" spans="1:4">
      <c r="A83" s="27">
        <v>2</v>
      </c>
      <c r="B83" s="26" t="s">
        <v>7</v>
      </c>
      <c r="C83" s="26" t="s">
        <v>8</v>
      </c>
      <c r="D83" s="28"/>
    </row>
    <row r="84" spans="1:4">
      <c r="A84" s="27">
        <v>3</v>
      </c>
      <c r="B84" s="26" t="s">
        <v>9</v>
      </c>
      <c r="C84" s="26" t="s">
        <v>10</v>
      </c>
      <c r="D84" s="28"/>
    </row>
    <row r="85" spans="1:4">
      <c r="A85" s="29">
        <v>4</v>
      </c>
      <c r="B85" s="30" t="s">
        <v>11</v>
      </c>
      <c r="C85" s="30" t="s">
        <v>12</v>
      </c>
      <c r="D85" s="31"/>
    </row>
    <row r="88" spans="1:4" ht="32" customHeight="1">
      <c r="A88" s="18" t="s">
        <v>1</v>
      </c>
      <c r="B88" s="19" t="s">
        <v>22</v>
      </c>
      <c r="C88" s="20" t="s">
        <v>60</v>
      </c>
      <c r="D88" s="21" t="s">
        <v>18</v>
      </c>
    </row>
    <row r="89" spans="1:4">
      <c r="A89" s="27">
        <v>1</v>
      </c>
      <c r="B89" s="26" t="s">
        <v>5</v>
      </c>
      <c r="C89" s="26" t="s">
        <v>6</v>
      </c>
      <c r="D89" s="28"/>
    </row>
    <row r="90" spans="1:4">
      <c r="A90" s="27">
        <v>2</v>
      </c>
      <c r="B90" s="26" t="s">
        <v>7</v>
      </c>
      <c r="C90" s="26" t="s">
        <v>8</v>
      </c>
      <c r="D90" s="28"/>
    </row>
    <row r="91" spans="1:4">
      <c r="A91" s="27">
        <v>3</v>
      </c>
      <c r="B91" s="26" t="s">
        <v>9</v>
      </c>
      <c r="C91" s="26" t="s">
        <v>10</v>
      </c>
      <c r="D91" s="28"/>
    </row>
    <row r="92" spans="1:4">
      <c r="A92" s="29">
        <v>4</v>
      </c>
      <c r="B92" s="30" t="s">
        <v>11</v>
      </c>
      <c r="C92" s="30" t="s">
        <v>12</v>
      </c>
      <c r="D92" s="31"/>
    </row>
    <row r="95" spans="1:4" ht="32" customHeight="1">
      <c r="A95" s="18" t="s">
        <v>1</v>
      </c>
      <c r="B95" s="19" t="s">
        <v>22</v>
      </c>
      <c r="C95" s="20" t="s">
        <v>61</v>
      </c>
      <c r="D95" s="21" t="s">
        <v>18</v>
      </c>
    </row>
    <row r="96" spans="1:4">
      <c r="A96" s="27">
        <v>1</v>
      </c>
      <c r="B96" s="26" t="s">
        <v>5</v>
      </c>
      <c r="C96" s="26" t="s">
        <v>6</v>
      </c>
      <c r="D96" s="28"/>
    </row>
    <row r="97" spans="1:4">
      <c r="A97" s="27">
        <v>2</v>
      </c>
      <c r="B97" s="26" t="s">
        <v>7</v>
      </c>
      <c r="C97" s="26" t="s">
        <v>8</v>
      </c>
      <c r="D97" s="28"/>
    </row>
    <row r="98" spans="1:4">
      <c r="A98" s="27">
        <v>3</v>
      </c>
      <c r="B98" s="26" t="s">
        <v>9</v>
      </c>
      <c r="C98" s="26" t="s">
        <v>10</v>
      </c>
      <c r="D98" s="28"/>
    </row>
    <row r="99" spans="1:4">
      <c r="A99" s="29">
        <v>4</v>
      </c>
      <c r="B99" s="30" t="s">
        <v>11</v>
      </c>
      <c r="C99" s="30" t="s">
        <v>12</v>
      </c>
      <c r="D99" s="31"/>
    </row>
    <row r="102" spans="1:4" ht="32" customHeight="1">
      <c r="A102" s="18" t="s">
        <v>1</v>
      </c>
      <c r="B102" s="19" t="s">
        <v>22</v>
      </c>
      <c r="C102" s="20" t="s">
        <v>62</v>
      </c>
      <c r="D102" s="21" t="s">
        <v>18</v>
      </c>
    </row>
    <row r="103" spans="1:4">
      <c r="A103" s="27">
        <v>1</v>
      </c>
      <c r="B103" s="26" t="s">
        <v>5</v>
      </c>
      <c r="C103" s="26" t="s">
        <v>6</v>
      </c>
      <c r="D103" s="28"/>
    </row>
    <row r="104" spans="1:4">
      <c r="A104" s="27">
        <v>2</v>
      </c>
      <c r="B104" s="26" t="s">
        <v>7</v>
      </c>
      <c r="C104" s="26" t="s">
        <v>8</v>
      </c>
      <c r="D104" s="28"/>
    </row>
    <row r="105" spans="1:4">
      <c r="A105" s="27">
        <v>3</v>
      </c>
      <c r="B105" s="26" t="s">
        <v>9</v>
      </c>
      <c r="C105" s="26" t="s">
        <v>10</v>
      </c>
      <c r="D105" s="28"/>
    </row>
    <row r="106" spans="1:4">
      <c r="A106" s="29">
        <v>4</v>
      </c>
      <c r="B106" s="30" t="s">
        <v>11</v>
      </c>
      <c r="C106" s="30" t="s">
        <v>12</v>
      </c>
      <c r="D106" s="31"/>
    </row>
    <row r="109" spans="1:4" ht="32" customHeight="1">
      <c r="A109" s="18" t="s">
        <v>1</v>
      </c>
      <c r="B109" s="19" t="s">
        <v>19</v>
      </c>
      <c r="C109" s="20" t="s">
        <v>63</v>
      </c>
      <c r="D109" s="21" t="s">
        <v>18</v>
      </c>
    </row>
    <row r="110" spans="1:4">
      <c r="A110" s="27">
        <v>1</v>
      </c>
      <c r="B110" s="26" t="s">
        <v>5</v>
      </c>
      <c r="C110" s="26" t="s">
        <v>6</v>
      </c>
      <c r="D110" s="28"/>
    </row>
    <row r="111" spans="1:4">
      <c r="A111" s="27">
        <v>2</v>
      </c>
      <c r="B111" s="26" t="s">
        <v>7</v>
      </c>
      <c r="C111" s="26" t="s">
        <v>8</v>
      </c>
      <c r="D111" s="28"/>
    </row>
    <row r="112" spans="1:4">
      <c r="A112" s="27">
        <v>3</v>
      </c>
      <c r="B112" s="26" t="s">
        <v>9</v>
      </c>
      <c r="C112" s="26" t="s">
        <v>10</v>
      </c>
      <c r="D112" s="28"/>
    </row>
    <row r="113" spans="1:4">
      <c r="A113" s="29">
        <v>4</v>
      </c>
      <c r="B113" s="30" t="s">
        <v>11</v>
      </c>
      <c r="C113" s="30" t="s">
        <v>12</v>
      </c>
      <c r="D113" s="31"/>
    </row>
    <row r="116" spans="1:4" ht="32" customHeight="1">
      <c r="A116" s="18" t="s">
        <v>1</v>
      </c>
      <c r="B116" s="19" t="s">
        <v>19</v>
      </c>
      <c r="C116" s="20" t="s">
        <v>64</v>
      </c>
      <c r="D116" s="21" t="s">
        <v>18</v>
      </c>
    </row>
    <row r="117" spans="1:4">
      <c r="A117" s="27">
        <v>1</v>
      </c>
      <c r="B117" s="26" t="s">
        <v>5</v>
      </c>
      <c r="C117" s="26" t="s">
        <v>6</v>
      </c>
      <c r="D117" s="28"/>
    </row>
    <row r="118" spans="1:4">
      <c r="A118" s="27">
        <v>2</v>
      </c>
      <c r="B118" s="26" t="s">
        <v>7</v>
      </c>
      <c r="C118" s="26" t="s">
        <v>8</v>
      </c>
      <c r="D118" s="28"/>
    </row>
    <row r="119" spans="1:4">
      <c r="A119" s="27">
        <v>3</v>
      </c>
      <c r="B119" s="26" t="s">
        <v>9</v>
      </c>
      <c r="C119" s="26" t="s">
        <v>10</v>
      </c>
      <c r="D119" s="28"/>
    </row>
    <row r="120" spans="1:4">
      <c r="A120" s="29">
        <v>4</v>
      </c>
      <c r="B120" s="30" t="s">
        <v>11</v>
      </c>
      <c r="C120" s="30" t="s">
        <v>12</v>
      </c>
      <c r="D120" s="31"/>
    </row>
    <row r="123" spans="1:4" ht="32" customHeight="1">
      <c r="A123" s="18" t="s">
        <v>1</v>
      </c>
      <c r="B123" s="19" t="s">
        <v>19</v>
      </c>
      <c r="C123" s="20" t="s">
        <v>65</v>
      </c>
      <c r="D123" s="21" t="s">
        <v>18</v>
      </c>
    </row>
    <row r="124" spans="1:4">
      <c r="A124" s="27">
        <v>1</v>
      </c>
      <c r="B124" s="26" t="s">
        <v>5</v>
      </c>
      <c r="C124" s="26" t="s">
        <v>6</v>
      </c>
      <c r="D124" s="28"/>
    </row>
    <row r="125" spans="1:4">
      <c r="A125" s="27">
        <v>2</v>
      </c>
      <c r="B125" s="26" t="s">
        <v>7</v>
      </c>
      <c r="C125" s="26" t="s">
        <v>8</v>
      </c>
      <c r="D125" s="28"/>
    </row>
    <row r="126" spans="1:4">
      <c r="A126" s="27">
        <v>3</v>
      </c>
      <c r="B126" s="26" t="s">
        <v>9</v>
      </c>
      <c r="C126" s="26" t="s">
        <v>10</v>
      </c>
      <c r="D126" s="28"/>
    </row>
    <row r="127" spans="1:4">
      <c r="A127" s="29">
        <v>4</v>
      </c>
      <c r="B127" s="30" t="s">
        <v>11</v>
      </c>
      <c r="C127" s="30" t="s">
        <v>12</v>
      </c>
      <c r="D127" s="31"/>
    </row>
    <row r="130" spans="1:4" ht="32" customHeight="1">
      <c r="A130" s="18" t="s">
        <v>1</v>
      </c>
      <c r="B130" s="19" t="s">
        <v>19</v>
      </c>
      <c r="C130" s="20" t="s">
        <v>66</v>
      </c>
      <c r="D130" s="21" t="s">
        <v>18</v>
      </c>
    </row>
    <row r="131" spans="1:4">
      <c r="A131" s="27">
        <v>1</v>
      </c>
      <c r="B131" s="26" t="s">
        <v>5</v>
      </c>
      <c r="C131" s="26" t="s">
        <v>6</v>
      </c>
      <c r="D131" s="28"/>
    </row>
    <row r="132" spans="1:4">
      <c r="A132" s="27">
        <v>2</v>
      </c>
      <c r="B132" s="26" t="s">
        <v>7</v>
      </c>
      <c r="C132" s="26" t="s">
        <v>8</v>
      </c>
      <c r="D132" s="28"/>
    </row>
    <row r="133" spans="1:4">
      <c r="A133" s="27">
        <v>3</v>
      </c>
      <c r="B133" s="26" t="s">
        <v>9</v>
      </c>
      <c r="C133" s="26" t="s">
        <v>10</v>
      </c>
      <c r="D133" s="28"/>
    </row>
    <row r="134" spans="1:4">
      <c r="A134" s="29">
        <v>4</v>
      </c>
      <c r="B134" s="30" t="s">
        <v>11</v>
      </c>
      <c r="C134" s="30" t="s">
        <v>12</v>
      </c>
      <c r="D134" s="31"/>
    </row>
  </sheetData>
  <mergeCells count="1">
    <mergeCell ref="B11:C11"/>
  </mergeCells>
  <conditionalFormatting sqref="D1:D1048576">
    <cfRule type="containsText" dxfId="215" priority="1" stopIfTrue="1" operator="containsText" text="falla">
      <formula>NOT(ISERROR(SEARCH("falla",D1)))</formula>
    </cfRule>
    <cfRule type="containsText" dxfId="214" priority="2" stopIfTrue="1" operator="containsText" text="pasa">
      <formula>NOT(ISERROR(SEARCH("pasa",D1)))</formula>
    </cfRule>
    <cfRule type="containsText" dxfId="213" priority="3" stopIfTrue="1" operator="containsText" text="n/a">
      <formula>NOT(ISERROR(SEARCH("n/a",D1)))</formula>
    </cfRule>
  </conditionalFormatting>
  <pageMargins left="0.7" right="0.7" top="0.75" bottom="0.75" header="0.3" footer="0.3"/>
  <tableParts count="17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1F0452-0CA0-4EAC-98D1-FDC87D4896AD}">
          <x14:formula1>
            <xm:f>Datos!$A$2:$A$5</xm:f>
          </x14:formula1>
          <xm:sqref>D19:D22 D26:D29 D33:D36 D40:D43 D47:D50 D54:D57 D61:D64 D68:D71 D75:D78 D82:D85 D89:D92 D96:D99 D103:D106 D110:D113 D117:D120 D124:D127 D131:D134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FCA1A-5F1B-4E3F-A5B4-B32E15EF85BE}">
  <sheetPr codeName="Hoja30"/>
  <dimension ref="A2:M85"/>
  <sheetViews>
    <sheetView workbookViewId="0"/>
  </sheetViews>
  <sheetFormatPr baseColWidth="10" defaultRowHeight="16"/>
  <cols>
    <col min="1" max="1" width="6.58203125" style="1" customWidth="1"/>
    <col min="2" max="2" width="16.1640625" customWidth="1"/>
    <col min="3" max="3" width="56.58203125" customWidth="1"/>
    <col min="4" max="4" width="11.1640625" customWidth="1"/>
  </cols>
  <sheetData>
    <row r="2" spans="2:13" ht="29.5">
      <c r="B2" s="4" t="s">
        <v>24</v>
      </c>
    </row>
    <row r="3" spans="2:13" ht="25">
      <c r="B3" s="5" t="s">
        <v>25</v>
      </c>
    </row>
    <row r="4" spans="2:13" ht="26" customHeight="1"/>
    <row r="5" spans="2:13" ht="22.5">
      <c r="B5" s="7" t="s">
        <v>26</v>
      </c>
      <c r="C5" s="7"/>
      <c r="D5" s="7"/>
      <c r="E5" s="7"/>
      <c r="F5" s="7"/>
      <c r="G5" s="7"/>
      <c r="H5" s="7"/>
      <c r="I5" s="7"/>
      <c r="J5" s="7"/>
      <c r="K5" s="7"/>
      <c r="L5" s="7"/>
      <c r="M5" s="7"/>
    </row>
    <row r="6" spans="2:13" ht="12" customHeight="1"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</row>
    <row r="8" spans="2:13" ht="23">
      <c r="B8" s="9" t="s">
        <v>27</v>
      </c>
    </row>
    <row r="9" spans="2:13" ht="23">
      <c r="B9" s="9" t="s">
        <v>28</v>
      </c>
    </row>
    <row r="11" spans="2:13">
      <c r="B11" s="22" t="s">
        <v>29</v>
      </c>
      <c r="C11" s="23"/>
    </row>
    <row r="12" spans="2:13">
      <c r="B12" s="26" t="s">
        <v>19</v>
      </c>
      <c r="C12" s="26">
        <v>5</v>
      </c>
    </row>
    <row r="13" spans="2:13">
      <c r="B13" s="26" t="s">
        <v>22</v>
      </c>
      <c r="C13" s="26">
        <v>5</v>
      </c>
    </row>
    <row r="14" spans="2:13">
      <c r="B14" s="26" t="s">
        <v>30</v>
      </c>
      <c r="C14" s="26">
        <v>10</v>
      </c>
    </row>
    <row r="18" spans="1:4" ht="32" customHeight="1">
      <c r="A18" s="18" t="s">
        <v>1</v>
      </c>
      <c r="B18" s="19" t="s">
        <v>19</v>
      </c>
      <c r="C18" s="20" t="s">
        <v>40</v>
      </c>
      <c r="D18" s="21" t="s">
        <v>18</v>
      </c>
    </row>
    <row r="19" spans="1:4">
      <c r="A19" s="27">
        <v>1</v>
      </c>
      <c r="B19" s="26" t="s">
        <v>5</v>
      </c>
      <c r="C19" s="26" t="s">
        <v>6</v>
      </c>
      <c r="D19" s="28"/>
    </row>
    <row r="20" spans="1:4">
      <c r="A20" s="27">
        <v>2</v>
      </c>
      <c r="B20" s="26" t="s">
        <v>7</v>
      </c>
      <c r="C20" s="26" t="s">
        <v>8</v>
      </c>
      <c r="D20" s="28"/>
    </row>
    <row r="21" spans="1:4">
      <c r="A21" s="27">
        <v>3</v>
      </c>
      <c r="B21" s="26" t="s">
        <v>9</v>
      </c>
      <c r="C21" s="26" t="s">
        <v>10</v>
      </c>
      <c r="D21" s="28"/>
    </row>
    <row r="22" spans="1:4">
      <c r="A22" s="29">
        <v>4</v>
      </c>
      <c r="B22" s="30" t="s">
        <v>11</v>
      </c>
      <c r="C22" s="30" t="s">
        <v>12</v>
      </c>
      <c r="D22" s="31"/>
    </row>
    <row r="25" spans="1:4" ht="32" customHeight="1">
      <c r="A25" s="18" t="s">
        <v>1</v>
      </c>
      <c r="B25" s="19" t="s">
        <v>22</v>
      </c>
      <c r="C25" s="20" t="s">
        <v>41</v>
      </c>
      <c r="D25" s="21" t="s">
        <v>18</v>
      </c>
    </row>
    <row r="26" spans="1:4">
      <c r="A26" s="27">
        <v>1</v>
      </c>
      <c r="B26" s="26" t="s">
        <v>5</v>
      </c>
      <c r="C26" s="26" t="s">
        <v>6</v>
      </c>
      <c r="D26" s="28"/>
    </row>
    <row r="27" spans="1:4">
      <c r="A27" s="27">
        <v>2</v>
      </c>
      <c r="B27" s="26" t="s">
        <v>7</v>
      </c>
      <c r="C27" s="26" t="s">
        <v>8</v>
      </c>
      <c r="D27" s="28"/>
    </row>
    <row r="28" spans="1:4">
      <c r="A28" s="27">
        <v>3</v>
      </c>
      <c r="B28" s="26" t="s">
        <v>9</v>
      </c>
      <c r="C28" s="26" t="s">
        <v>10</v>
      </c>
      <c r="D28" s="28"/>
    </row>
    <row r="29" spans="1:4">
      <c r="A29" s="29">
        <v>4</v>
      </c>
      <c r="B29" s="30" t="s">
        <v>11</v>
      </c>
      <c r="C29" s="30" t="s">
        <v>12</v>
      </c>
      <c r="D29" s="31"/>
    </row>
    <row r="32" spans="1:4" ht="32" customHeight="1">
      <c r="A32" s="18" t="s">
        <v>1</v>
      </c>
      <c r="B32" s="19" t="s">
        <v>19</v>
      </c>
      <c r="C32" s="20" t="s">
        <v>42</v>
      </c>
      <c r="D32" s="21" t="s">
        <v>18</v>
      </c>
    </row>
    <row r="33" spans="1:4">
      <c r="A33" s="27">
        <v>1</v>
      </c>
      <c r="B33" s="26" t="s">
        <v>5</v>
      </c>
      <c r="C33" s="26" t="s">
        <v>6</v>
      </c>
      <c r="D33" s="28"/>
    </row>
    <row r="34" spans="1:4">
      <c r="A34" s="27">
        <v>2</v>
      </c>
      <c r="B34" s="26" t="s">
        <v>7</v>
      </c>
      <c r="C34" s="26" t="s">
        <v>8</v>
      </c>
      <c r="D34" s="28"/>
    </row>
    <row r="35" spans="1:4">
      <c r="A35" s="27">
        <v>3</v>
      </c>
      <c r="B35" s="26" t="s">
        <v>9</v>
      </c>
      <c r="C35" s="26" t="s">
        <v>10</v>
      </c>
      <c r="D35" s="28"/>
    </row>
    <row r="36" spans="1:4">
      <c r="A36" s="29">
        <v>4</v>
      </c>
      <c r="B36" s="30" t="s">
        <v>11</v>
      </c>
      <c r="C36" s="30" t="s">
        <v>12</v>
      </c>
      <c r="D36" s="31"/>
    </row>
    <row r="39" spans="1:4" ht="32" customHeight="1">
      <c r="A39" s="18" t="s">
        <v>1</v>
      </c>
      <c r="B39" s="19" t="s">
        <v>19</v>
      </c>
      <c r="C39" s="20" t="s">
        <v>43</v>
      </c>
      <c r="D39" s="21" t="s">
        <v>18</v>
      </c>
    </row>
    <row r="40" spans="1:4">
      <c r="A40" s="27">
        <v>1</v>
      </c>
      <c r="B40" s="26" t="s">
        <v>5</v>
      </c>
      <c r="C40" s="26" t="s">
        <v>6</v>
      </c>
      <c r="D40" s="28"/>
    </row>
    <row r="41" spans="1:4">
      <c r="A41" s="27">
        <v>2</v>
      </c>
      <c r="B41" s="26" t="s">
        <v>7</v>
      </c>
      <c r="C41" s="26" t="s">
        <v>8</v>
      </c>
      <c r="D41" s="28"/>
    </row>
    <row r="42" spans="1:4">
      <c r="A42" s="27">
        <v>3</v>
      </c>
      <c r="B42" s="26" t="s">
        <v>9</v>
      </c>
      <c r="C42" s="26" t="s">
        <v>10</v>
      </c>
      <c r="D42" s="28"/>
    </row>
    <row r="43" spans="1:4">
      <c r="A43" s="29">
        <v>4</v>
      </c>
      <c r="B43" s="30" t="s">
        <v>11</v>
      </c>
      <c r="C43" s="30" t="s">
        <v>12</v>
      </c>
      <c r="D43" s="31"/>
    </row>
    <row r="46" spans="1:4" ht="32" customHeight="1">
      <c r="A46" s="18" t="s">
        <v>1</v>
      </c>
      <c r="B46" s="19" t="s">
        <v>22</v>
      </c>
      <c r="C46" s="20" t="s">
        <v>44</v>
      </c>
      <c r="D46" s="21" t="s">
        <v>18</v>
      </c>
    </row>
    <row r="47" spans="1:4">
      <c r="A47" s="27">
        <v>1</v>
      </c>
      <c r="B47" s="26" t="s">
        <v>5</v>
      </c>
      <c r="C47" s="26" t="s">
        <v>6</v>
      </c>
      <c r="D47" s="28"/>
    </row>
    <row r="48" spans="1:4">
      <c r="A48" s="27">
        <v>2</v>
      </c>
      <c r="B48" s="26" t="s">
        <v>7</v>
      </c>
      <c r="C48" s="26" t="s">
        <v>8</v>
      </c>
      <c r="D48" s="28"/>
    </row>
    <row r="49" spans="1:4">
      <c r="A49" s="27">
        <v>3</v>
      </c>
      <c r="B49" s="26" t="s">
        <v>9</v>
      </c>
      <c r="C49" s="26" t="s">
        <v>10</v>
      </c>
      <c r="D49" s="28"/>
    </row>
    <row r="50" spans="1:4">
      <c r="A50" s="29">
        <v>4</v>
      </c>
      <c r="B50" s="30" t="s">
        <v>11</v>
      </c>
      <c r="C50" s="30" t="s">
        <v>12</v>
      </c>
      <c r="D50" s="31"/>
    </row>
    <row r="53" spans="1:4" ht="32" customHeight="1">
      <c r="A53" s="18" t="s">
        <v>1</v>
      </c>
      <c r="B53" s="19" t="s">
        <v>22</v>
      </c>
      <c r="C53" s="20" t="s">
        <v>45</v>
      </c>
      <c r="D53" s="21" t="s">
        <v>18</v>
      </c>
    </row>
    <row r="54" spans="1:4">
      <c r="A54" s="27">
        <v>1</v>
      </c>
      <c r="B54" s="26" t="s">
        <v>5</v>
      </c>
      <c r="C54" s="26" t="s">
        <v>6</v>
      </c>
      <c r="D54" s="28"/>
    </row>
    <row r="55" spans="1:4">
      <c r="A55" s="27">
        <v>2</v>
      </c>
      <c r="B55" s="26" t="s">
        <v>7</v>
      </c>
      <c r="C55" s="26" t="s">
        <v>8</v>
      </c>
      <c r="D55" s="28"/>
    </row>
    <row r="56" spans="1:4">
      <c r="A56" s="27">
        <v>3</v>
      </c>
      <c r="B56" s="26" t="s">
        <v>9</v>
      </c>
      <c r="C56" s="26" t="s">
        <v>10</v>
      </c>
      <c r="D56" s="28"/>
    </row>
    <row r="57" spans="1:4">
      <c r="A57" s="29">
        <v>4</v>
      </c>
      <c r="B57" s="30" t="s">
        <v>11</v>
      </c>
      <c r="C57" s="30" t="s">
        <v>12</v>
      </c>
      <c r="D57" s="31"/>
    </row>
    <row r="60" spans="1:4" ht="32" customHeight="1">
      <c r="A60" s="18" t="s">
        <v>1</v>
      </c>
      <c r="B60" s="19" t="s">
        <v>19</v>
      </c>
      <c r="C60" s="20" t="s">
        <v>46</v>
      </c>
      <c r="D60" s="21" t="s">
        <v>18</v>
      </c>
    </row>
    <row r="61" spans="1:4">
      <c r="A61" s="27">
        <v>1</v>
      </c>
      <c r="B61" s="26" t="s">
        <v>5</v>
      </c>
      <c r="C61" s="26" t="s">
        <v>6</v>
      </c>
      <c r="D61" s="28"/>
    </row>
    <row r="62" spans="1:4">
      <c r="A62" s="27">
        <v>2</v>
      </c>
      <c r="B62" s="26" t="s">
        <v>7</v>
      </c>
      <c r="C62" s="26" t="s">
        <v>8</v>
      </c>
      <c r="D62" s="28"/>
    </row>
    <row r="63" spans="1:4">
      <c r="A63" s="27">
        <v>3</v>
      </c>
      <c r="B63" s="26" t="s">
        <v>9</v>
      </c>
      <c r="C63" s="26" t="s">
        <v>10</v>
      </c>
      <c r="D63" s="28"/>
    </row>
    <row r="64" spans="1:4">
      <c r="A64" s="29">
        <v>4</v>
      </c>
      <c r="B64" s="30" t="s">
        <v>11</v>
      </c>
      <c r="C64" s="30" t="s">
        <v>12</v>
      </c>
      <c r="D64" s="31"/>
    </row>
    <row r="67" spans="1:4" ht="32" customHeight="1">
      <c r="A67" s="18" t="s">
        <v>1</v>
      </c>
      <c r="B67" s="19" t="s">
        <v>19</v>
      </c>
      <c r="C67" s="20" t="s">
        <v>47</v>
      </c>
      <c r="D67" s="21" t="s">
        <v>18</v>
      </c>
    </row>
    <row r="68" spans="1:4">
      <c r="A68" s="27">
        <v>1</v>
      </c>
      <c r="B68" s="26" t="s">
        <v>5</v>
      </c>
      <c r="C68" s="26" t="s">
        <v>6</v>
      </c>
      <c r="D68" s="28"/>
    </row>
    <row r="69" spans="1:4">
      <c r="A69" s="27">
        <v>2</v>
      </c>
      <c r="B69" s="26" t="s">
        <v>7</v>
      </c>
      <c r="C69" s="26" t="s">
        <v>8</v>
      </c>
      <c r="D69" s="28"/>
    </row>
    <row r="70" spans="1:4">
      <c r="A70" s="27">
        <v>3</v>
      </c>
      <c r="B70" s="26" t="s">
        <v>9</v>
      </c>
      <c r="C70" s="26" t="s">
        <v>10</v>
      </c>
      <c r="D70" s="28"/>
    </row>
    <row r="71" spans="1:4">
      <c r="A71" s="29">
        <v>4</v>
      </c>
      <c r="B71" s="30" t="s">
        <v>11</v>
      </c>
      <c r="C71" s="30" t="s">
        <v>12</v>
      </c>
      <c r="D71" s="31"/>
    </row>
    <row r="74" spans="1:4" ht="32" customHeight="1">
      <c r="A74" s="18" t="s">
        <v>1</v>
      </c>
      <c r="B74" s="19" t="s">
        <v>22</v>
      </c>
      <c r="C74" s="20" t="s">
        <v>48</v>
      </c>
      <c r="D74" s="21" t="s">
        <v>18</v>
      </c>
    </row>
    <row r="75" spans="1:4">
      <c r="A75" s="27">
        <v>1</v>
      </c>
      <c r="B75" s="26" t="s">
        <v>5</v>
      </c>
      <c r="C75" s="26" t="s">
        <v>6</v>
      </c>
      <c r="D75" s="28"/>
    </row>
    <row r="76" spans="1:4">
      <c r="A76" s="27">
        <v>2</v>
      </c>
      <c r="B76" s="26" t="s">
        <v>7</v>
      </c>
      <c r="C76" s="26" t="s">
        <v>8</v>
      </c>
      <c r="D76" s="28"/>
    </row>
    <row r="77" spans="1:4">
      <c r="A77" s="27">
        <v>3</v>
      </c>
      <c r="B77" s="26" t="s">
        <v>9</v>
      </c>
      <c r="C77" s="26" t="s">
        <v>10</v>
      </c>
      <c r="D77" s="28"/>
    </row>
    <row r="78" spans="1:4">
      <c r="A78" s="29">
        <v>4</v>
      </c>
      <c r="B78" s="30" t="s">
        <v>11</v>
      </c>
      <c r="C78" s="30" t="s">
        <v>12</v>
      </c>
      <c r="D78" s="31"/>
    </row>
    <row r="81" spans="1:4" ht="32" customHeight="1">
      <c r="A81" s="18" t="s">
        <v>1</v>
      </c>
      <c r="B81" s="19" t="s">
        <v>22</v>
      </c>
      <c r="C81" s="20" t="s">
        <v>49</v>
      </c>
      <c r="D81" s="21" t="s">
        <v>18</v>
      </c>
    </row>
    <row r="82" spans="1:4">
      <c r="A82" s="27">
        <v>1</v>
      </c>
      <c r="B82" s="26" t="s">
        <v>5</v>
      </c>
      <c r="C82" s="26" t="s">
        <v>6</v>
      </c>
      <c r="D82" s="28"/>
    </row>
    <row r="83" spans="1:4">
      <c r="A83" s="27">
        <v>2</v>
      </c>
      <c r="B83" s="26" t="s">
        <v>7</v>
      </c>
      <c r="C83" s="26" t="s">
        <v>8</v>
      </c>
      <c r="D83" s="28"/>
    </row>
    <row r="84" spans="1:4">
      <c r="A84" s="27">
        <v>3</v>
      </c>
      <c r="B84" s="26" t="s">
        <v>9</v>
      </c>
      <c r="C84" s="26" t="s">
        <v>10</v>
      </c>
      <c r="D84" s="28"/>
    </row>
    <row r="85" spans="1:4">
      <c r="A85" s="29">
        <v>4</v>
      </c>
      <c r="B85" s="30" t="s">
        <v>11</v>
      </c>
      <c r="C85" s="30" t="s">
        <v>12</v>
      </c>
      <c r="D85" s="31"/>
    </row>
  </sheetData>
  <mergeCells count="1">
    <mergeCell ref="B11:C11"/>
  </mergeCells>
  <conditionalFormatting sqref="D1:D1048576">
    <cfRule type="containsText" dxfId="385" priority="1" stopIfTrue="1" operator="containsText" text="falla">
      <formula>NOT(ISERROR(SEARCH("falla",D1)))</formula>
    </cfRule>
    <cfRule type="containsText" dxfId="384" priority="2" stopIfTrue="1" operator="containsText" text="pasa">
      <formula>NOT(ISERROR(SEARCH("pasa",D1)))</formula>
    </cfRule>
    <cfRule type="containsText" dxfId="383" priority="3" stopIfTrue="1" operator="containsText" text="n/a">
      <formula>NOT(ISERROR(SEARCH("n/a",D1)))</formula>
    </cfRule>
  </conditionalFormatting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6872D91-5096-40CF-9B9A-68AA0C426ECB}">
          <x14:formula1>
            <xm:f>Datos!$A$2:$A$5</xm:f>
          </x14:formula1>
          <xm:sqref>D19:D22 D26:D29 D33:D36 D40:D43 D47:D50 D54:D57 D61:D64 D68:D71 D75:D78 D82:D85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F1A46-4523-4943-8137-237BF7340509}">
  <sheetPr codeName="Hoja29"/>
  <dimension ref="A2:M36"/>
  <sheetViews>
    <sheetView workbookViewId="0"/>
  </sheetViews>
  <sheetFormatPr baseColWidth="10" defaultRowHeight="16"/>
  <cols>
    <col min="1" max="1" width="6.58203125" style="1" customWidth="1"/>
    <col min="2" max="2" width="16.1640625" customWidth="1"/>
    <col min="3" max="3" width="56.58203125" customWidth="1"/>
    <col min="4" max="4" width="11.1640625" customWidth="1"/>
  </cols>
  <sheetData>
    <row r="2" spans="2:13" ht="29.5">
      <c r="B2" s="4" t="s">
        <v>24</v>
      </c>
    </row>
    <row r="3" spans="2:13" ht="25">
      <c r="B3" s="5" t="s">
        <v>25</v>
      </c>
    </row>
    <row r="4" spans="2:13" ht="26" customHeight="1"/>
    <row r="5" spans="2:13" ht="22.5">
      <c r="B5" s="7" t="s">
        <v>26</v>
      </c>
      <c r="C5" s="7"/>
      <c r="D5" s="7"/>
      <c r="E5" s="7"/>
      <c r="F5" s="7"/>
      <c r="G5" s="7"/>
      <c r="H5" s="7"/>
      <c r="I5" s="7"/>
      <c r="J5" s="7"/>
      <c r="K5" s="7"/>
      <c r="L5" s="7"/>
      <c r="M5" s="7"/>
    </row>
    <row r="6" spans="2:13" ht="12" customHeight="1"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</row>
    <row r="8" spans="2:13" ht="23">
      <c r="B8" s="9" t="s">
        <v>35</v>
      </c>
    </row>
    <row r="9" spans="2:13" ht="23">
      <c r="B9" s="9" t="s">
        <v>36</v>
      </c>
    </row>
    <row r="11" spans="2:13">
      <c r="B11" s="22" t="s">
        <v>29</v>
      </c>
      <c r="C11" s="23"/>
    </row>
    <row r="12" spans="2:13">
      <c r="B12" s="26" t="s">
        <v>19</v>
      </c>
      <c r="C12" s="26">
        <v>2</v>
      </c>
    </row>
    <row r="13" spans="2:13">
      <c r="B13" s="26" t="s">
        <v>22</v>
      </c>
      <c r="C13" s="26">
        <v>1</v>
      </c>
    </row>
    <row r="14" spans="2:13">
      <c r="B14" s="26" t="s">
        <v>30</v>
      </c>
      <c r="C14" s="26">
        <v>3</v>
      </c>
    </row>
    <row r="18" spans="1:4" ht="32" customHeight="1">
      <c r="A18" s="18" t="s">
        <v>1</v>
      </c>
      <c r="B18" s="19" t="s">
        <v>19</v>
      </c>
      <c r="C18" s="20" t="s">
        <v>37</v>
      </c>
      <c r="D18" s="21" t="s">
        <v>18</v>
      </c>
    </row>
    <row r="19" spans="1:4">
      <c r="A19" s="27">
        <v>1</v>
      </c>
      <c r="B19" s="26" t="s">
        <v>5</v>
      </c>
      <c r="C19" s="26" t="s">
        <v>6</v>
      </c>
      <c r="D19" s="28"/>
    </row>
    <row r="20" spans="1:4">
      <c r="A20" s="27">
        <v>2</v>
      </c>
      <c r="B20" s="26" t="s">
        <v>7</v>
      </c>
      <c r="C20" s="26" t="s">
        <v>8</v>
      </c>
      <c r="D20" s="28"/>
    </row>
    <row r="21" spans="1:4">
      <c r="A21" s="27">
        <v>3</v>
      </c>
      <c r="B21" s="26" t="s">
        <v>9</v>
      </c>
      <c r="C21" s="26" t="s">
        <v>10</v>
      </c>
      <c r="D21" s="28"/>
    </row>
    <row r="22" spans="1:4">
      <c r="A22" s="29">
        <v>4</v>
      </c>
      <c r="B22" s="30" t="s">
        <v>11</v>
      </c>
      <c r="C22" s="30" t="s">
        <v>12</v>
      </c>
      <c r="D22" s="31"/>
    </row>
    <row r="25" spans="1:4" ht="32" customHeight="1">
      <c r="A25" s="18" t="s">
        <v>1</v>
      </c>
      <c r="B25" s="19" t="s">
        <v>19</v>
      </c>
      <c r="C25" s="20" t="s">
        <v>38</v>
      </c>
      <c r="D25" s="21" t="s">
        <v>18</v>
      </c>
    </row>
    <row r="26" spans="1:4">
      <c r="A26" s="27">
        <v>1</v>
      </c>
      <c r="B26" s="26" t="s">
        <v>5</v>
      </c>
      <c r="C26" s="26" t="s">
        <v>6</v>
      </c>
      <c r="D26" s="28"/>
    </row>
    <row r="27" spans="1:4">
      <c r="A27" s="27">
        <v>2</v>
      </c>
      <c r="B27" s="26" t="s">
        <v>7</v>
      </c>
      <c r="C27" s="26" t="s">
        <v>8</v>
      </c>
      <c r="D27" s="28"/>
    </row>
    <row r="28" spans="1:4">
      <c r="A28" s="27">
        <v>3</v>
      </c>
      <c r="B28" s="26" t="s">
        <v>9</v>
      </c>
      <c r="C28" s="26" t="s">
        <v>10</v>
      </c>
      <c r="D28" s="28"/>
    </row>
    <row r="29" spans="1:4">
      <c r="A29" s="29">
        <v>4</v>
      </c>
      <c r="B29" s="30" t="s">
        <v>11</v>
      </c>
      <c r="C29" s="30" t="s">
        <v>12</v>
      </c>
      <c r="D29" s="31"/>
    </row>
    <row r="32" spans="1:4" ht="32" customHeight="1">
      <c r="A32" s="18" t="s">
        <v>1</v>
      </c>
      <c r="B32" s="19" t="s">
        <v>22</v>
      </c>
      <c r="C32" s="20" t="s">
        <v>39</v>
      </c>
      <c r="D32" s="21" t="s">
        <v>18</v>
      </c>
    </row>
    <row r="33" spans="1:4">
      <c r="A33" s="27">
        <v>1</v>
      </c>
      <c r="B33" s="26" t="s">
        <v>5</v>
      </c>
      <c r="C33" s="26" t="s">
        <v>6</v>
      </c>
      <c r="D33" s="28"/>
    </row>
    <row r="34" spans="1:4">
      <c r="A34" s="27">
        <v>2</v>
      </c>
      <c r="B34" s="26" t="s">
        <v>7</v>
      </c>
      <c r="C34" s="26" t="s">
        <v>8</v>
      </c>
      <c r="D34" s="28"/>
    </row>
    <row r="35" spans="1:4">
      <c r="A35" s="27">
        <v>3</v>
      </c>
      <c r="B35" s="26" t="s">
        <v>9</v>
      </c>
      <c r="C35" s="26" t="s">
        <v>10</v>
      </c>
      <c r="D35" s="28"/>
    </row>
    <row r="36" spans="1:4">
      <c r="A36" s="29">
        <v>4</v>
      </c>
      <c r="B36" s="30" t="s">
        <v>11</v>
      </c>
      <c r="C36" s="30" t="s">
        <v>12</v>
      </c>
      <c r="D36" s="31"/>
    </row>
  </sheetData>
  <mergeCells count="1">
    <mergeCell ref="B11:C11"/>
  </mergeCells>
  <conditionalFormatting sqref="D1:D1048576">
    <cfRule type="containsText" dxfId="485" priority="1" stopIfTrue="1" operator="containsText" text="falla">
      <formula>NOT(ISERROR(SEARCH("falla",D1)))</formula>
    </cfRule>
    <cfRule type="containsText" dxfId="484" priority="2" stopIfTrue="1" operator="containsText" text="pasa">
      <formula>NOT(ISERROR(SEARCH("pasa",D1)))</formula>
    </cfRule>
    <cfRule type="containsText" dxfId="483" priority="3" stopIfTrue="1" operator="containsText" text="n/a">
      <formula>NOT(ISERROR(SEARCH("n/a",D1)))</formula>
    </cfRule>
  </conditionalFormatting>
  <pageMargins left="0.7" right="0.7" top="0.75" bottom="0.75" header="0.3" footer="0.3"/>
  <tableParts count="3">
    <tablePart r:id="rId1"/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81FAC28-5181-4372-A2CA-C270B50D7BFB}">
          <x14:formula1>
            <xm:f>Datos!$A$2:$A$5</xm:f>
          </x14:formula1>
          <xm:sqref>D19:D22 D26:D29 D33:D36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07075-8034-4CFF-81A5-3356C328F3BF}">
  <sheetPr codeName="Hoja33"/>
  <dimension ref="B2:AG27"/>
  <sheetViews>
    <sheetView workbookViewId="0"/>
  </sheetViews>
  <sheetFormatPr baseColWidth="10" defaultRowHeight="16"/>
  <cols>
    <col min="3" max="3" width="45.58203125" customWidth="1"/>
    <col min="4" max="33" width="6.58203125" customWidth="1"/>
  </cols>
  <sheetData>
    <row r="2" spans="2:33" ht="29.5">
      <c r="B2" s="4" t="s">
        <v>24</v>
      </c>
    </row>
    <row r="3" spans="2:33" ht="25">
      <c r="B3" s="5" t="s">
        <v>25</v>
      </c>
    </row>
    <row r="6" spans="2:33" ht="15" customHeight="1">
      <c r="C6" s="17" t="s">
        <v>136</v>
      </c>
      <c r="D6" s="12"/>
      <c r="E6" s="12"/>
      <c r="F6" s="12"/>
      <c r="G6" s="12"/>
      <c r="H6" s="12"/>
      <c r="I6" s="12"/>
      <c r="J6" s="12"/>
      <c r="K6" s="12"/>
      <c r="L6" s="12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8"/>
      <c r="AB6" s="8"/>
      <c r="AC6" s="8"/>
      <c r="AD6" s="8"/>
      <c r="AE6" s="8"/>
      <c r="AF6" s="10"/>
      <c r="AG6" s="10"/>
    </row>
    <row r="7" spans="2:33" ht="50" customHeight="1">
      <c r="C7" s="32" t="s">
        <v>83</v>
      </c>
      <c r="D7" s="33" t="s">
        <v>84</v>
      </c>
      <c r="E7" s="33" t="s">
        <v>85</v>
      </c>
      <c r="F7" s="33" t="s">
        <v>86</v>
      </c>
      <c r="G7" s="33" t="s">
        <v>87</v>
      </c>
      <c r="H7" s="33" t="s">
        <v>88</v>
      </c>
      <c r="I7" s="33" t="s">
        <v>89</v>
      </c>
      <c r="J7" s="33" t="s">
        <v>90</v>
      </c>
      <c r="K7" s="33" t="s">
        <v>91</v>
      </c>
      <c r="L7" s="33" t="s">
        <v>92</v>
      </c>
      <c r="M7" s="33" t="s">
        <v>93</v>
      </c>
      <c r="N7" s="33" t="s">
        <v>94</v>
      </c>
      <c r="O7" s="33" t="s">
        <v>95</v>
      </c>
      <c r="P7" s="33" t="s">
        <v>96</v>
      </c>
      <c r="Q7" s="33" t="s">
        <v>97</v>
      </c>
      <c r="R7" s="33" t="s">
        <v>98</v>
      </c>
      <c r="S7" s="33" t="s">
        <v>99</v>
      </c>
      <c r="T7" s="33" t="s">
        <v>100</v>
      </c>
      <c r="U7" s="33" t="s">
        <v>101</v>
      </c>
      <c r="V7" s="33" t="s">
        <v>102</v>
      </c>
      <c r="W7" s="33" t="s">
        <v>103</v>
      </c>
      <c r="X7" s="33" t="s">
        <v>104</v>
      </c>
      <c r="Y7" s="33" t="s">
        <v>105</v>
      </c>
      <c r="Z7" s="33" t="s">
        <v>106</v>
      </c>
      <c r="AA7" s="33" t="s">
        <v>107</v>
      </c>
      <c r="AB7" s="33" t="s">
        <v>108</v>
      </c>
      <c r="AC7" s="33" t="s">
        <v>109</v>
      </c>
      <c r="AD7" s="33" t="s">
        <v>110</v>
      </c>
      <c r="AE7" s="33" t="s">
        <v>111</v>
      </c>
      <c r="AF7" s="33" t="s">
        <v>112</v>
      </c>
      <c r="AG7" s="33" t="s">
        <v>113</v>
      </c>
    </row>
    <row r="8" spans="2:33">
      <c r="B8" s="25" t="s">
        <v>5</v>
      </c>
      <c r="C8" s="34" t="s">
        <v>6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</row>
    <row r="9" spans="2:33">
      <c r="B9" s="24" t="s">
        <v>7</v>
      </c>
      <c r="C9" s="35" t="s">
        <v>8</v>
      </c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</row>
    <row r="10" spans="2:33">
      <c r="B10" s="25" t="s">
        <v>9</v>
      </c>
      <c r="C10" s="34" t="s">
        <v>10</v>
      </c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</row>
    <row r="11" spans="2:33">
      <c r="B11" s="24" t="s">
        <v>11</v>
      </c>
      <c r="C11" s="35" t="s">
        <v>12</v>
      </c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</row>
    <row r="12" spans="2:33">
      <c r="C12" s="13" t="s">
        <v>15</v>
      </c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</row>
    <row r="13" spans="2:33">
      <c r="C13" s="13" t="s">
        <v>16</v>
      </c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</row>
    <row r="14" spans="2:33">
      <c r="C14" s="15" t="s">
        <v>135</v>
      </c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</row>
    <row r="15" spans="2:33" ht="80" customHeight="1">
      <c r="C15" s="14" t="s">
        <v>134</v>
      </c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</row>
    <row r="18" spans="2:23" ht="15" customHeight="1">
      <c r="C18" s="17" t="s">
        <v>137</v>
      </c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1"/>
      <c r="P18" s="11"/>
      <c r="Q18" s="11"/>
      <c r="R18" s="8"/>
      <c r="S18" s="8"/>
      <c r="T18" s="8"/>
      <c r="U18" s="8"/>
      <c r="V18" s="8"/>
      <c r="W18" s="10"/>
    </row>
    <row r="19" spans="2:23" ht="50" customHeight="1">
      <c r="C19" s="32" t="s">
        <v>83</v>
      </c>
      <c r="D19" s="33" t="s">
        <v>114</v>
      </c>
      <c r="E19" s="33" t="s">
        <v>115</v>
      </c>
      <c r="F19" s="33" t="s">
        <v>116</v>
      </c>
      <c r="G19" s="33" t="s">
        <v>117</v>
      </c>
      <c r="H19" s="33" t="s">
        <v>118</v>
      </c>
      <c r="I19" s="33" t="s">
        <v>119</v>
      </c>
      <c r="J19" s="33" t="s">
        <v>120</v>
      </c>
      <c r="K19" s="33" t="s">
        <v>121</v>
      </c>
      <c r="L19" s="33" t="s">
        <v>122</v>
      </c>
      <c r="M19" s="33" t="s">
        <v>123</v>
      </c>
      <c r="N19" s="33" t="s">
        <v>124</v>
      </c>
      <c r="O19" s="33" t="s">
        <v>125</v>
      </c>
      <c r="P19" s="33" t="s">
        <v>126</v>
      </c>
      <c r="Q19" s="33" t="s">
        <v>127</v>
      </c>
      <c r="R19" s="33" t="s">
        <v>128</v>
      </c>
      <c r="S19" s="33" t="s">
        <v>129</v>
      </c>
      <c r="T19" s="33" t="s">
        <v>130</v>
      </c>
      <c r="U19" s="33" t="s">
        <v>131</v>
      </c>
      <c r="V19" s="33" t="s">
        <v>132</v>
      </c>
      <c r="W19" s="33" t="s">
        <v>133</v>
      </c>
    </row>
    <row r="20" spans="2:23">
      <c r="B20" s="25" t="s">
        <v>5</v>
      </c>
      <c r="C20" s="34" t="s">
        <v>6</v>
      </c>
      <c r="D20" s="26">
        <f>INDEX(T1_2_4[Resultado], 1)</f>
        <v>0</v>
      </c>
      <c r="E20" s="26">
        <f>INDEX(T1_2_5[Resultado], 1)</f>
        <v>0</v>
      </c>
      <c r="F20" s="26">
        <f>INDEX(T1_3_4[Resultado], 1)</f>
        <v>0</v>
      </c>
      <c r="G20" s="26">
        <f>INDEX(T1_3_5[Resultado], 1)</f>
        <v>0</v>
      </c>
      <c r="H20" s="26">
        <f>INDEX(T1_4_3[Resultado], 1)</f>
        <v>0</v>
      </c>
      <c r="I20" s="26">
        <f>INDEX(T1_4_4[Resultado], 1)</f>
        <v>0</v>
      </c>
      <c r="J20" s="26">
        <f>INDEX(T1_4_5[Resultado], 1)</f>
        <v>0</v>
      </c>
      <c r="K20" s="26">
        <f>INDEX(T1_4_10[Resultado], 1)</f>
        <v>0</v>
      </c>
      <c r="L20" s="26">
        <f>INDEX(T1_4_11[Resultado], 1)</f>
        <v>0</v>
      </c>
      <c r="M20" s="26">
        <f>INDEX(T1_4_12[Resultado], 1)</f>
        <v>0</v>
      </c>
      <c r="N20" s="26">
        <f>INDEX(T1_4_13[Resultado], 1)</f>
        <v>0</v>
      </c>
      <c r="O20" s="26">
        <f>INDEX(T2_4_5[Resultado], 1)</f>
        <v>0</v>
      </c>
      <c r="P20" s="26">
        <f>INDEX(T2_4_6[Resultado], 1)</f>
        <v>0</v>
      </c>
      <c r="Q20" s="26">
        <f>INDEX(T2_4_7[Resultado], 1)</f>
        <v>0</v>
      </c>
      <c r="R20" s="26">
        <f>INDEX(T3_1_2[Resultado], 1)</f>
        <v>0</v>
      </c>
      <c r="S20" s="26">
        <f>INDEX(T3_2_3[Resultado], 1)</f>
        <v>0</v>
      </c>
      <c r="T20" s="26">
        <f>INDEX(T3_2_4[Resultado], 1)</f>
        <v>0</v>
      </c>
      <c r="U20" s="26">
        <f>INDEX(T3_3_3[Resultado], 1)</f>
        <v>0</v>
      </c>
      <c r="V20" s="26">
        <f>INDEX(T3_3_4[Resultado], 1)</f>
        <v>0</v>
      </c>
      <c r="W20" s="26">
        <f>INDEX(T4_1_3[Resultado], 1)</f>
        <v>0</v>
      </c>
    </row>
    <row r="21" spans="2:23">
      <c r="B21" s="24" t="s">
        <v>7</v>
      </c>
      <c r="C21" s="35" t="s">
        <v>8</v>
      </c>
      <c r="D21" s="26">
        <f>INDEX(T1_2_4[Resultado], 2)</f>
        <v>0</v>
      </c>
      <c r="E21" s="26">
        <f>INDEX(T1_2_5[Resultado], 2)</f>
        <v>0</v>
      </c>
      <c r="F21" s="26">
        <f>INDEX(T1_3_4[Resultado], 2)</f>
        <v>0</v>
      </c>
      <c r="G21" s="26">
        <f>INDEX(T1_3_5[Resultado], 2)</f>
        <v>0</v>
      </c>
      <c r="H21" s="26">
        <f>INDEX(T1_4_3[Resultado], 2)</f>
        <v>0</v>
      </c>
      <c r="I21" s="26">
        <f>INDEX(T1_4_4[Resultado], 2)</f>
        <v>0</v>
      </c>
      <c r="J21" s="26">
        <f>INDEX(T1_4_5[Resultado], 2)</f>
        <v>0</v>
      </c>
      <c r="K21" s="26">
        <f>INDEX(T1_4_10[Resultado], 2)</f>
        <v>0</v>
      </c>
      <c r="L21" s="26">
        <f>INDEX(T1_4_11[Resultado], 2)</f>
        <v>0</v>
      </c>
      <c r="M21" s="26">
        <f>INDEX(T1_4_12[Resultado], 2)</f>
        <v>0</v>
      </c>
      <c r="N21" s="26">
        <f>INDEX(T1_4_13[Resultado], 2)</f>
        <v>0</v>
      </c>
      <c r="O21" s="26">
        <f>INDEX(T2_4_5[Resultado], 2)</f>
        <v>0</v>
      </c>
      <c r="P21" s="26">
        <f>INDEX(T2_4_6[Resultado], 2)</f>
        <v>0</v>
      </c>
      <c r="Q21" s="26">
        <f>INDEX(T2_4_7[Resultado], 2)</f>
        <v>0</v>
      </c>
      <c r="R21" s="26">
        <f>INDEX(T3_1_2[Resultado], 2)</f>
        <v>0</v>
      </c>
      <c r="S21" s="26">
        <f>INDEX(T3_2_3[Resultado], 2)</f>
        <v>0</v>
      </c>
      <c r="T21" s="26">
        <f>INDEX(T3_2_4[Resultado], 2)</f>
        <v>0</v>
      </c>
      <c r="U21" s="26">
        <f>INDEX(T3_3_3[Resultado], 2)</f>
        <v>0</v>
      </c>
      <c r="V21" s="26">
        <f>INDEX(T3_3_4[Resultado], 2)</f>
        <v>0</v>
      </c>
      <c r="W21" s="26">
        <f>INDEX(T4_1_3[Resultado], 2)</f>
        <v>0</v>
      </c>
    </row>
    <row r="22" spans="2:23">
      <c r="B22" s="25" t="s">
        <v>9</v>
      </c>
      <c r="C22" s="34" t="s">
        <v>10</v>
      </c>
      <c r="D22" s="26">
        <f>INDEX(T1_2_4[Resultado], 3)</f>
        <v>0</v>
      </c>
      <c r="E22" s="26">
        <f>INDEX(T1_2_5[Resultado], 3)</f>
        <v>0</v>
      </c>
      <c r="F22" s="26">
        <f>INDEX(T1_3_4[Resultado], 3)</f>
        <v>0</v>
      </c>
      <c r="G22" s="26">
        <f>INDEX(T1_3_5[Resultado], 3)</f>
        <v>0</v>
      </c>
      <c r="H22" s="26">
        <f>INDEX(T1_4_3[Resultado], 3)</f>
        <v>0</v>
      </c>
      <c r="I22" s="26">
        <f>INDEX(T1_4_4[Resultado], 3)</f>
        <v>0</v>
      </c>
      <c r="J22" s="26">
        <f>INDEX(T1_4_5[Resultado], 3)</f>
        <v>0</v>
      </c>
      <c r="K22" s="26">
        <f>INDEX(T1_4_10[Resultado], 3)</f>
        <v>0</v>
      </c>
      <c r="L22" s="26">
        <f>INDEX(T1_4_11[Resultado], 3)</f>
        <v>0</v>
      </c>
      <c r="M22" s="26">
        <f>INDEX(T1_4_12[Resultado], 3)</f>
        <v>0</v>
      </c>
      <c r="N22" s="26">
        <f>INDEX(T1_4_13[Resultado], 3)</f>
        <v>0</v>
      </c>
      <c r="O22" s="26">
        <f>INDEX(T2_4_5[Resultado], 3)</f>
        <v>0</v>
      </c>
      <c r="P22" s="26">
        <f>INDEX(T2_4_6[Resultado], 3)</f>
        <v>0</v>
      </c>
      <c r="Q22" s="26">
        <f>INDEX(T2_4_7[Resultado], 3)</f>
        <v>0</v>
      </c>
      <c r="R22" s="26">
        <f>INDEX(T3_1_2[Resultado], 3)</f>
        <v>0</v>
      </c>
      <c r="S22" s="26">
        <f>INDEX(T3_2_3[Resultado], 3)</f>
        <v>0</v>
      </c>
      <c r="T22" s="26">
        <f>INDEX(T3_2_4[Resultado], 3)</f>
        <v>0</v>
      </c>
      <c r="U22" s="26">
        <f>INDEX(T3_3_3[Resultado], 3)</f>
        <v>0</v>
      </c>
      <c r="V22" s="26">
        <f>INDEX(T3_3_4[Resultado], 3)</f>
        <v>0</v>
      </c>
      <c r="W22" s="26">
        <f>INDEX(T4_1_3[Resultado], 3)</f>
        <v>0</v>
      </c>
    </row>
    <row r="23" spans="2:23">
      <c r="B23" s="24" t="s">
        <v>11</v>
      </c>
      <c r="C23" s="35" t="s">
        <v>12</v>
      </c>
      <c r="D23" s="26">
        <f>INDEX(T1_2_4[Resultado], 4)</f>
        <v>0</v>
      </c>
      <c r="E23" s="26">
        <f>INDEX(T1_2_5[Resultado], 4)</f>
        <v>0</v>
      </c>
      <c r="F23" s="26">
        <f>INDEX(T1_3_4[Resultado], 4)</f>
        <v>0</v>
      </c>
      <c r="G23" s="26">
        <f>INDEX(T1_3_5[Resultado], 4)</f>
        <v>0</v>
      </c>
      <c r="H23" s="26">
        <f>INDEX(T1_4_3[Resultado], 4)</f>
        <v>0</v>
      </c>
      <c r="I23" s="26">
        <f>INDEX(T1_4_4[Resultado], 4)</f>
        <v>0</v>
      </c>
      <c r="J23" s="26">
        <f>INDEX(T1_4_5[Resultado], 4)</f>
        <v>0</v>
      </c>
      <c r="K23" s="26">
        <f>INDEX(T1_4_10[Resultado], 4)</f>
        <v>0</v>
      </c>
      <c r="L23" s="26">
        <f>INDEX(T1_4_11[Resultado], 4)</f>
        <v>0</v>
      </c>
      <c r="M23" s="26">
        <f>INDEX(T1_4_12[Resultado], 4)</f>
        <v>0</v>
      </c>
      <c r="N23" s="26">
        <f>INDEX(T1_4_13[Resultado], 4)</f>
        <v>0</v>
      </c>
      <c r="O23" s="26">
        <f>INDEX(T2_4_5[Resultado], 4)</f>
        <v>0</v>
      </c>
      <c r="P23" s="26">
        <f>INDEX(T2_4_6[Resultado], 4)</f>
        <v>0</v>
      </c>
      <c r="Q23" s="26">
        <f>INDEX(T2_4_7[Resultado], 4)</f>
        <v>0</v>
      </c>
      <c r="R23" s="26">
        <f>INDEX(T3_1_2[Resultado], 4)</f>
        <v>0</v>
      </c>
      <c r="S23" s="26">
        <f>INDEX(T3_2_3[Resultado], 4)</f>
        <v>0</v>
      </c>
      <c r="T23" s="26">
        <f>INDEX(T3_2_4[Resultado], 4)</f>
        <v>0</v>
      </c>
      <c r="U23" s="26">
        <f>INDEX(T3_3_3[Resultado], 4)</f>
        <v>0</v>
      </c>
      <c r="V23" s="26">
        <f>INDEX(T3_3_4[Resultado], 4)</f>
        <v>0</v>
      </c>
      <c r="W23" s="26">
        <f>INDEX(T4_1_3[Resultado], 4)</f>
        <v>0</v>
      </c>
    </row>
    <row r="24" spans="2:23">
      <c r="C24" s="13" t="s">
        <v>15</v>
      </c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2:23">
      <c r="C25" s="13" t="s">
        <v>16</v>
      </c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  <row r="26" spans="2:23">
      <c r="C26" s="15" t="s">
        <v>135</v>
      </c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</row>
    <row r="27" spans="2:23" ht="80" customHeight="1">
      <c r="C27" s="14" t="s">
        <v>134</v>
      </c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</row>
  </sheetData>
  <conditionalFormatting sqref="D7:AG11">
    <cfRule type="containsText" dxfId="5" priority="1" stopIfTrue="1" operator="containsText" text="falla">
      <formula>NOT(ISERROR(SEARCH("falla",D7)))</formula>
    </cfRule>
    <cfRule type="containsText" dxfId="4" priority="2" stopIfTrue="1" operator="containsText" text="pasa">
      <formula>NOT(ISERROR(SEARCH("pasa",D7)))</formula>
    </cfRule>
    <cfRule type="containsText" dxfId="3" priority="3" stopIfTrue="1" operator="containsText" text="n/a">
      <formula>NOT(ISERROR(SEARCH("n/a",D7)))</formula>
    </cfRule>
  </conditionalFormatting>
  <conditionalFormatting sqref="D19:W23">
    <cfRule type="containsText" dxfId="2" priority="4" stopIfTrue="1" operator="containsText" text="falla">
      <formula>NOT(ISERROR(SEARCH("falla",D19)))</formula>
    </cfRule>
    <cfRule type="containsText" dxfId="1" priority="5" stopIfTrue="1" operator="containsText" text="pasa">
      <formula>NOT(ISERROR(SEARCH("pasa",D19)))</formula>
    </cfRule>
    <cfRule type="containsText" dxfId="0" priority="6" stopIfTrue="1" operator="containsText" text="n/a">
      <formula>NOT(ISERROR(SEARCH("n/a",D19)))</formula>
    </cfRule>
  </conditionalFormatting>
  <hyperlinks>
    <hyperlink ref="C8" r:id="rId1" xr:uid="{9F5CC8E9-C637-4054-9F30-039E1B1638D4}"/>
    <hyperlink ref="C9" r:id="rId2" xr:uid="{48069385-4AD9-4F6D-AE89-4B91FD28CF37}"/>
    <hyperlink ref="C10" r:id="rId3" xr:uid="{CB5C54E2-7394-4D43-B0A0-417961238B62}"/>
    <hyperlink ref="C11" r:id="rId4" xr:uid="{99B83F0D-A741-4D45-A87A-F4BF6E7F2150}"/>
    <hyperlink ref="C20" r:id="rId5" xr:uid="{A2E7E539-8D27-4E68-B553-42D7E8AFDF73}"/>
    <hyperlink ref="C21" r:id="rId6" xr:uid="{3A756DEF-5B76-4884-858A-3665A4975F86}"/>
    <hyperlink ref="C22" r:id="rId7" xr:uid="{BBABD15E-4A71-42BC-8DC6-A74F5385C9CA}"/>
    <hyperlink ref="C23" r:id="rId8" xr:uid="{25283E55-3F60-4555-87AE-E93027F2699F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2FDC0-8EBE-4415-89B9-6DCED82D34AA}">
  <sheetPr codeName="Hoja3"/>
  <dimension ref="A1:A5"/>
  <sheetViews>
    <sheetView workbookViewId="0">
      <selection activeCell="M13" sqref="M13"/>
    </sheetView>
  </sheetViews>
  <sheetFormatPr baseColWidth="10" defaultRowHeight="16"/>
  <cols>
    <col min="1" max="1" width="11" customWidth="1"/>
  </cols>
  <sheetData>
    <row r="1" spans="1:1">
      <c r="A1" t="s">
        <v>2</v>
      </c>
    </row>
    <row r="2" spans="1:1">
      <c r="A2" t="s">
        <v>13</v>
      </c>
    </row>
    <row r="3" spans="1:1">
      <c r="A3" t="s">
        <v>14</v>
      </c>
    </row>
    <row r="4" spans="1:1">
      <c r="A4" t="s">
        <v>15</v>
      </c>
    </row>
    <row r="5" spans="1:1">
      <c r="A5" t="s">
        <v>16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Muestra</vt:lpstr>
      <vt:lpstr>Perceptible</vt:lpstr>
      <vt:lpstr>Operable</vt:lpstr>
      <vt:lpstr>Comprensible</vt:lpstr>
      <vt:lpstr>Robusto</vt:lpstr>
      <vt:lpstr>Resultados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Izquierdo Ferrando</dc:creator>
  <cp:lastModifiedBy>Carlos Izquierdo Ferrando</cp:lastModifiedBy>
  <dcterms:created xsi:type="dcterms:W3CDTF">2024-11-22T08:02:01Z</dcterms:created>
  <dcterms:modified xsi:type="dcterms:W3CDTF">2024-11-30T13:56:27Z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2024-11-22T08:02:09Z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50283660-e42c-46fe-96ed-eed7c4ff8ced</vt:lpwstr>
  </property>
  <property fmtid="{D5CDD505-2E9C-101B-9397-08002B2CF9AE}" pid="7" name="MSIP_Label_defa4170-0d19-0005-0004-bc88714345d2_ActionId">
    <vt:lpwstr>1fcafc45-a90d-46b0-ae15-b3376119dc9d</vt:lpwstr>
  </property>
  <property fmtid="{D5CDD505-2E9C-101B-9397-08002B2CF9AE}" pid="8" name="MSIP_Label_defa4170-0d19-0005-0004-bc88714345d2_ContentBits">
    <vt:lpwstr>0</vt:lpwstr>
  </property>
</Properties>
</file>